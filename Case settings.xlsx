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Energy_Cell\Revision_Paper_05\Data\"/>
    </mc:Choice>
  </mc:AlternateContent>
  <xr:revisionPtr revIDLastSave="0" documentId="13_ncr:1_{2C6AD16A-E696-49AE-BD6D-38F9DC763C67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Wind" sheetId="1" r:id="rId1"/>
    <sheet name="Wmap" sheetId="2" r:id="rId2"/>
    <sheet name="Branch" sheetId="3" r:id="rId3"/>
    <sheet name="Demand" sheetId="4" r:id="rId4"/>
    <sheet name="area" sheetId="12" r:id="rId5"/>
    <sheet name="Check" sheetId="11" r:id="rId6"/>
    <sheet name="Devices" sheetId="6" r:id="rId7"/>
    <sheet name="Bus_By_Line" sheetId="7" r:id="rId8"/>
    <sheet name="Info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4" i="12" l="1"/>
  <c r="P58" i="12"/>
  <c r="P59" i="12"/>
  <c r="P60" i="12"/>
  <c r="P61" i="12"/>
  <c r="R61" i="12" s="1"/>
  <c r="P62" i="12"/>
  <c r="R62" i="12" s="1"/>
  <c r="P63" i="12"/>
  <c r="P64" i="12"/>
  <c r="P65" i="12"/>
  <c r="P66" i="12"/>
  <c r="R66" i="12" s="1"/>
  <c r="T66" i="12" s="1"/>
  <c r="P67" i="12"/>
  <c r="R67" i="12" s="1"/>
  <c r="P68" i="12"/>
  <c r="R68" i="12" s="1"/>
  <c r="P69" i="12"/>
  <c r="R69" i="12" s="1"/>
  <c r="P70" i="12"/>
  <c r="R70" i="12" s="1"/>
  <c r="P71" i="12"/>
  <c r="R71" i="12" s="1"/>
  <c r="P72" i="12"/>
  <c r="R72" i="12" s="1"/>
  <c r="P73" i="12"/>
  <c r="R73" i="12" s="1"/>
  <c r="P74" i="12"/>
  <c r="R74" i="12" s="1"/>
  <c r="P75" i="12"/>
  <c r="R75" i="12" s="1"/>
  <c r="T75" i="12" s="1"/>
  <c r="P76" i="12"/>
  <c r="R76" i="12" s="1"/>
  <c r="T76" i="12" s="1"/>
  <c r="P77" i="12"/>
  <c r="P78" i="12"/>
  <c r="R78" i="12" s="1"/>
  <c r="P79" i="12"/>
  <c r="R79" i="12" s="1"/>
  <c r="P80" i="12"/>
  <c r="R80" i="12" s="1"/>
  <c r="P57" i="12"/>
  <c r="R57" i="12" s="1"/>
  <c r="R58" i="12"/>
  <c r="R59" i="12"/>
  <c r="R64" i="12"/>
  <c r="R65" i="12"/>
  <c r="T65" i="12" s="1"/>
  <c r="P107" i="12"/>
  <c r="R107" i="12" s="1"/>
  <c r="T107" i="12" s="1"/>
  <c r="P106" i="12"/>
  <c r="R106" i="12" s="1"/>
  <c r="T106" i="12" s="1"/>
  <c r="P105" i="12"/>
  <c r="R105" i="12" s="1"/>
  <c r="T105" i="12" s="1"/>
  <c r="P104" i="12"/>
  <c r="R104" i="12" s="1"/>
  <c r="T104" i="12" s="1"/>
  <c r="P103" i="12"/>
  <c r="R103" i="12" s="1"/>
  <c r="T103" i="12" s="1"/>
  <c r="P102" i="12"/>
  <c r="R102" i="12" s="1"/>
  <c r="T102" i="12" s="1"/>
  <c r="P101" i="12"/>
  <c r="R101" i="12" s="1"/>
  <c r="T101" i="12" s="1"/>
  <c r="P100" i="12"/>
  <c r="R100" i="12" s="1"/>
  <c r="T100" i="12" s="1"/>
  <c r="P99" i="12"/>
  <c r="R99" i="12" s="1"/>
  <c r="T99" i="12" s="1"/>
  <c r="P98" i="12"/>
  <c r="R98" i="12" s="1"/>
  <c r="T98" i="12" s="1"/>
  <c r="P97" i="12"/>
  <c r="R97" i="12" s="1"/>
  <c r="T97" i="12" s="1"/>
  <c r="P96" i="12"/>
  <c r="R96" i="12" s="1"/>
  <c r="T96" i="12" s="1"/>
  <c r="P95" i="12"/>
  <c r="R95" i="12" s="1"/>
  <c r="T95" i="12" s="1"/>
  <c r="P94" i="12"/>
  <c r="R94" i="12" s="1"/>
  <c r="T94" i="12" s="1"/>
  <c r="P93" i="12"/>
  <c r="R93" i="12" s="1"/>
  <c r="T93" i="12" s="1"/>
  <c r="P92" i="12"/>
  <c r="R92" i="12" s="1"/>
  <c r="T92" i="12" s="1"/>
  <c r="P91" i="12"/>
  <c r="R91" i="12" s="1"/>
  <c r="T91" i="12" s="1"/>
  <c r="P90" i="12"/>
  <c r="R90" i="12" s="1"/>
  <c r="T90" i="12" s="1"/>
  <c r="P89" i="12"/>
  <c r="R89" i="12" s="1"/>
  <c r="T89" i="12" s="1"/>
  <c r="P88" i="12"/>
  <c r="R88" i="12" s="1"/>
  <c r="T88" i="12" s="1"/>
  <c r="P87" i="12"/>
  <c r="R87" i="12" s="1"/>
  <c r="T87" i="12" s="1"/>
  <c r="P86" i="12"/>
  <c r="R86" i="12" s="1"/>
  <c r="T86" i="12" s="1"/>
  <c r="P85" i="12"/>
  <c r="R85" i="12" s="1"/>
  <c r="T85" i="12" s="1"/>
  <c r="R84" i="12"/>
  <c r="T84" i="12" s="1"/>
  <c r="R77" i="12"/>
  <c r="R63" i="12"/>
  <c r="R60" i="12"/>
  <c r="P53" i="12"/>
  <c r="R53" i="12" s="1"/>
  <c r="P52" i="12"/>
  <c r="R52" i="12" s="1"/>
  <c r="T52" i="12" s="1"/>
  <c r="P51" i="12"/>
  <c r="R51" i="12" s="1"/>
  <c r="T51" i="12" s="1"/>
  <c r="P50" i="12"/>
  <c r="R50" i="12" s="1"/>
  <c r="T50" i="12" s="1"/>
  <c r="P49" i="12"/>
  <c r="R49" i="12" s="1"/>
  <c r="P48" i="12"/>
  <c r="R48" i="12" s="1"/>
  <c r="P47" i="12"/>
  <c r="R47" i="12" s="1"/>
  <c r="P46" i="12"/>
  <c r="R46" i="12" s="1"/>
  <c r="P45" i="12"/>
  <c r="R45" i="12" s="1"/>
  <c r="P44" i="12"/>
  <c r="R44" i="12" s="1"/>
  <c r="P43" i="12"/>
  <c r="R43" i="12" s="1"/>
  <c r="P42" i="12"/>
  <c r="R42" i="12" s="1"/>
  <c r="P41" i="12"/>
  <c r="R41" i="12" s="1"/>
  <c r="P40" i="12"/>
  <c r="R40" i="12" s="1"/>
  <c r="P39" i="12"/>
  <c r="R39" i="12" s="1"/>
  <c r="T39" i="12" s="1"/>
  <c r="P38" i="12"/>
  <c r="R38" i="12" s="1"/>
  <c r="T38" i="12" s="1"/>
  <c r="P37" i="12"/>
  <c r="R37" i="12" s="1"/>
  <c r="T37" i="12" s="1"/>
  <c r="P36" i="12"/>
  <c r="R36" i="12" s="1"/>
  <c r="T36" i="12" s="1"/>
  <c r="P35" i="12"/>
  <c r="R35" i="12" s="1"/>
  <c r="T35" i="12" s="1"/>
  <c r="P34" i="12"/>
  <c r="R34" i="12" s="1"/>
  <c r="P33" i="12"/>
  <c r="R33" i="12" s="1"/>
  <c r="P32" i="12"/>
  <c r="R32" i="12" s="1"/>
  <c r="P31" i="12"/>
  <c r="R31" i="12" s="1"/>
  <c r="P30" i="12"/>
  <c r="R30" i="12" s="1"/>
  <c r="P4" i="12"/>
  <c r="R4" i="12" s="1"/>
  <c r="P5" i="12"/>
  <c r="P6" i="12"/>
  <c r="R6" i="12" s="1"/>
  <c r="P7" i="12"/>
  <c r="R7" i="12" s="1"/>
  <c r="P8" i="12"/>
  <c r="R8" i="12" s="1"/>
  <c r="P9" i="12"/>
  <c r="R9" i="12" s="1"/>
  <c r="P10" i="12"/>
  <c r="R10" i="12" s="1"/>
  <c r="P11" i="12"/>
  <c r="R11" i="12" s="1"/>
  <c r="P12" i="12"/>
  <c r="R12" i="12" s="1"/>
  <c r="P13" i="12"/>
  <c r="R13" i="12" s="1"/>
  <c r="P14" i="12"/>
  <c r="R14" i="12" s="1"/>
  <c r="T14" i="12" s="1"/>
  <c r="P15" i="12"/>
  <c r="R15" i="12" s="1"/>
  <c r="T15" i="12" s="1"/>
  <c r="P16" i="12"/>
  <c r="R16" i="12" s="1"/>
  <c r="P17" i="12"/>
  <c r="P18" i="12"/>
  <c r="P19" i="12"/>
  <c r="P20" i="12"/>
  <c r="R20" i="12" s="1"/>
  <c r="P21" i="12"/>
  <c r="P22" i="12"/>
  <c r="P23" i="12"/>
  <c r="R23" i="12" s="1"/>
  <c r="T23" i="12" s="1"/>
  <c r="P24" i="12"/>
  <c r="R24" i="12" s="1"/>
  <c r="T24" i="12" s="1"/>
  <c r="P25" i="12"/>
  <c r="R25" i="12" s="1"/>
  <c r="T25" i="12" s="1"/>
  <c r="P26" i="12"/>
  <c r="R26" i="12" s="1"/>
  <c r="T26" i="12" s="1"/>
  <c r="P3" i="12"/>
  <c r="R3" i="12" s="1"/>
  <c r="R22" i="12"/>
  <c r="T22" i="12" s="1"/>
  <c r="R21" i="12"/>
  <c r="T21" i="12" s="1"/>
  <c r="R19" i="12"/>
  <c r="R18" i="12"/>
  <c r="R17" i="12"/>
  <c r="R5" i="12"/>
  <c r="U84" i="12" l="1"/>
  <c r="T64" i="12"/>
  <c r="T79" i="12"/>
  <c r="T74" i="12"/>
  <c r="T57" i="12"/>
  <c r="T60" i="12"/>
  <c r="T61" i="12"/>
  <c r="T62" i="12"/>
  <c r="T58" i="12"/>
  <c r="T63" i="12"/>
  <c r="T80" i="12"/>
  <c r="T70" i="12"/>
  <c r="T69" i="12"/>
  <c r="T68" i="12"/>
  <c r="T67" i="12"/>
  <c r="T13" i="12"/>
  <c r="T9" i="12"/>
  <c r="T4" i="12"/>
  <c r="T5" i="12"/>
  <c r="T6" i="12"/>
  <c r="T12" i="12"/>
  <c r="T10" i="12"/>
  <c r="T7" i="12"/>
  <c r="T18" i="12"/>
  <c r="T40" i="12"/>
  <c r="T41" i="12"/>
  <c r="T42" i="12"/>
  <c r="T43" i="12"/>
  <c r="T44" i="12"/>
  <c r="T45" i="12"/>
  <c r="T46" i="12"/>
  <c r="T47" i="12"/>
  <c r="T48" i="12"/>
  <c r="T49" i="12"/>
  <c r="T30" i="12"/>
  <c r="T31" i="12"/>
  <c r="T33" i="12"/>
  <c r="T53" i="12"/>
  <c r="T32" i="12"/>
  <c r="T34" i="12"/>
  <c r="T59" i="12"/>
  <c r="T73" i="12"/>
  <c r="T71" i="12"/>
  <c r="T72" i="12"/>
  <c r="T77" i="12"/>
  <c r="T78" i="12"/>
  <c r="T11" i="12"/>
  <c r="T16" i="12"/>
  <c r="T17" i="12"/>
  <c r="T20" i="12"/>
  <c r="T8" i="12"/>
  <c r="T19" i="12"/>
  <c r="T3" i="12"/>
  <c r="U3" i="12" l="1"/>
  <c r="U30" i="12"/>
  <c r="U57" i="12"/>
  <c r="AM2" i="4" l="1"/>
  <c r="AN2" i="4"/>
  <c r="AO2" i="4"/>
  <c r="AP2" i="4"/>
  <c r="AQ2" i="4"/>
  <c r="AR2" i="4"/>
  <c r="AS2" i="4"/>
  <c r="AT2" i="4"/>
  <c r="AU2" i="4"/>
  <c r="AV2" i="4"/>
  <c r="AW2" i="4"/>
  <c r="AX2" i="4"/>
  <c r="AY2" i="4"/>
  <c r="AZ2" i="4"/>
  <c r="BA2" i="4"/>
  <c r="BB2" i="4"/>
  <c r="BC2" i="4"/>
  <c r="BD2" i="4"/>
  <c r="BE2" i="4"/>
  <c r="BF2" i="4"/>
  <c r="BG2" i="4"/>
  <c r="BH2" i="4"/>
  <c r="BI2" i="4"/>
  <c r="BJ2" i="4"/>
  <c r="BK2" i="4"/>
  <c r="BL2" i="4"/>
  <c r="BM2" i="4"/>
  <c r="BN2" i="4"/>
  <c r="BO2" i="4"/>
  <c r="BP2" i="4"/>
  <c r="BQ2" i="4"/>
  <c r="AL2" i="4"/>
  <c r="AI78" i="4"/>
  <c r="AI72" i="4"/>
  <c r="AI71" i="4"/>
  <c r="AV44" i="4"/>
  <c r="AI69" i="4"/>
  <c r="AI67" i="4"/>
  <c r="AU39" i="4"/>
  <c r="AM35" i="4"/>
  <c r="AT34" i="4"/>
  <c r="AO33" i="4"/>
  <c r="AV32" i="4"/>
  <c r="AQ31" i="4"/>
  <c r="AI79" i="4"/>
  <c r="AI80" i="4"/>
  <c r="AI62" i="4"/>
  <c r="AI63" i="4"/>
  <c r="AI64" i="4"/>
  <c r="AI65" i="4"/>
  <c r="AI66" i="4"/>
  <c r="AI68" i="4"/>
  <c r="AI73" i="4"/>
  <c r="AI74" i="4"/>
  <c r="AI75" i="4"/>
  <c r="AI76" i="4"/>
  <c r="AI77" i="4"/>
  <c r="AI57" i="4"/>
  <c r="I25" i="10"/>
  <c r="H27" i="10"/>
  <c r="I27" i="10"/>
  <c r="G26" i="10"/>
  <c r="G27" i="10" s="1"/>
  <c r="I26" i="10"/>
  <c r="I23" i="10"/>
  <c r="H26" i="10"/>
  <c r="H23" i="10"/>
  <c r="G25" i="10"/>
  <c r="G23" i="10"/>
  <c r="D27" i="10"/>
  <c r="D26" i="10"/>
  <c r="D25" i="10"/>
  <c r="D23" i="10"/>
  <c r="C26" i="10"/>
  <c r="B26" i="10"/>
  <c r="B27" i="10" s="1"/>
  <c r="B25" i="10"/>
  <c r="C23" i="10"/>
  <c r="C25" i="10" s="1"/>
  <c r="C27" i="10" s="1"/>
  <c r="B23" i="10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31" i="4"/>
  <c r="AM31" i="4"/>
  <c r="AN31" i="4"/>
  <c r="AO31" i="4"/>
  <c r="AP31" i="4"/>
  <c r="AT31" i="4"/>
  <c r="AY31" i="4"/>
  <c r="AZ31" i="4"/>
  <c r="BA31" i="4"/>
  <c r="BB31" i="4"/>
  <c r="BF31" i="4"/>
  <c r="BJ31" i="4"/>
  <c r="BK31" i="4"/>
  <c r="BL31" i="4"/>
  <c r="BM31" i="4"/>
  <c r="BN31" i="4"/>
  <c r="AT32" i="4"/>
  <c r="AM33" i="4"/>
  <c r="AN33" i="4"/>
  <c r="AR33" i="4"/>
  <c r="AW33" i="4"/>
  <c r="AX33" i="4"/>
  <c r="AY33" i="4"/>
  <c r="AZ33" i="4"/>
  <c r="BD33" i="4"/>
  <c r="BI33" i="4"/>
  <c r="BJ33" i="4"/>
  <c r="BK33" i="4"/>
  <c r="BL33" i="4"/>
  <c r="BP33" i="4"/>
  <c r="AN34" i="4"/>
  <c r="AO34" i="4"/>
  <c r="AP34" i="4"/>
  <c r="AQ34" i="4"/>
  <c r="AR34" i="4"/>
  <c r="AS34" i="4"/>
  <c r="AU34" i="4"/>
  <c r="AV34" i="4"/>
  <c r="AW34" i="4"/>
  <c r="AZ34" i="4"/>
  <c r="BA34" i="4"/>
  <c r="BB34" i="4"/>
  <c r="BC34" i="4"/>
  <c r="BD34" i="4"/>
  <c r="BE34" i="4"/>
  <c r="BG34" i="4"/>
  <c r="BH34" i="4"/>
  <c r="BI34" i="4"/>
  <c r="BL34" i="4"/>
  <c r="BM34" i="4"/>
  <c r="BN34" i="4"/>
  <c r="BO34" i="4"/>
  <c r="BP34" i="4"/>
  <c r="BQ34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5" i="4"/>
  <c r="BF35" i="4"/>
  <c r="BG35" i="4"/>
  <c r="BH35" i="4"/>
  <c r="BI35" i="4"/>
  <c r="BJ35" i="4"/>
  <c r="BK35" i="4"/>
  <c r="BL35" i="4"/>
  <c r="BM35" i="4"/>
  <c r="BN35" i="4"/>
  <c r="BO35" i="4"/>
  <c r="BP35" i="4"/>
  <c r="BQ35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BD36" i="4"/>
  <c r="BE36" i="4"/>
  <c r="BF36" i="4"/>
  <c r="BG36" i="4"/>
  <c r="BH36" i="4"/>
  <c r="BI36" i="4"/>
  <c r="BJ36" i="4"/>
  <c r="BK36" i="4"/>
  <c r="BL36" i="4"/>
  <c r="BM36" i="4"/>
  <c r="BN36" i="4"/>
  <c r="BO36" i="4"/>
  <c r="BP36" i="4"/>
  <c r="BQ36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Z38" i="4"/>
  <c r="BA38" i="4"/>
  <c r="BB38" i="4"/>
  <c r="BC38" i="4"/>
  <c r="BD38" i="4"/>
  <c r="BE38" i="4"/>
  <c r="BF38" i="4"/>
  <c r="BG38" i="4"/>
  <c r="BH38" i="4"/>
  <c r="BI38" i="4"/>
  <c r="BJ38" i="4"/>
  <c r="BK38" i="4"/>
  <c r="BL38" i="4"/>
  <c r="BM38" i="4"/>
  <c r="BN38" i="4"/>
  <c r="BO38" i="4"/>
  <c r="BP38" i="4"/>
  <c r="BQ38" i="4"/>
  <c r="AM39" i="4"/>
  <c r="AN39" i="4"/>
  <c r="AO39" i="4"/>
  <c r="AP39" i="4"/>
  <c r="AQ39" i="4"/>
  <c r="AR39" i="4"/>
  <c r="AS39" i="4"/>
  <c r="AT39" i="4"/>
  <c r="AV39" i="4"/>
  <c r="AW39" i="4"/>
  <c r="AX39" i="4"/>
  <c r="AY39" i="4"/>
  <c r="AZ39" i="4"/>
  <c r="BA39" i="4"/>
  <c r="BB39" i="4"/>
  <c r="BC39" i="4"/>
  <c r="BD39" i="4"/>
  <c r="BE39" i="4"/>
  <c r="BF39" i="4"/>
  <c r="BH39" i="4"/>
  <c r="BI39" i="4"/>
  <c r="BJ39" i="4"/>
  <c r="BK39" i="4"/>
  <c r="BL39" i="4"/>
  <c r="BM39" i="4"/>
  <c r="BN39" i="4"/>
  <c r="BO39" i="4"/>
  <c r="BP39" i="4"/>
  <c r="BQ39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AZ40" i="4"/>
  <c r="BA40" i="4"/>
  <c r="BB40" i="4"/>
  <c r="BC40" i="4"/>
  <c r="BD40" i="4"/>
  <c r="BE40" i="4"/>
  <c r="BF40" i="4"/>
  <c r="BG40" i="4"/>
  <c r="BH40" i="4"/>
  <c r="BI40" i="4"/>
  <c r="BJ40" i="4"/>
  <c r="BK40" i="4"/>
  <c r="BL40" i="4"/>
  <c r="BM40" i="4"/>
  <c r="BN40" i="4"/>
  <c r="BO40" i="4"/>
  <c r="BP40" i="4"/>
  <c r="BQ40" i="4"/>
  <c r="AM41" i="4"/>
  <c r="AN41" i="4"/>
  <c r="AO41" i="4"/>
  <c r="AP41" i="4"/>
  <c r="AQ41" i="4"/>
  <c r="AR41" i="4"/>
  <c r="AS41" i="4"/>
  <c r="AT41" i="4"/>
  <c r="AU41" i="4"/>
  <c r="AV41" i="4"/>
  <c r="AW41" i="4"/>
  <c r="AX41" i="4"/>
  <c r="AY41" i="4"/>
  <c r="AZ41" i="4"/>
  <c r="BA41" i="4"/>
  <c r="BB41" i="4"/>
  <c r="BC41" i="4"/>
  <c r="BD41" i="4"/>
  <c r="BE41" i="4"/>
  <c r="BF41" i="4"/>
  <c r="BG41" i="4"/>
  <c r="BH41" i="4"/>
  <c r="BI41" i="4"/>
  <c r="BJ41" i="4"/>
  <c r="BK41" i="4"/>
  <c r="BL41" i="4"/>
  <c r="BM41" i="4"/>
  <c r="BN41" i="4"/>
  <c r="BO41" i="4"/>
  <c r="BP41" i="4"/>
  <c r="BQ41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AZ42" i="4"/>
  <c r="BA42" i="4"/>
  <c r="BB42" i="4"/>
  <c r="BC42" i="4"/>
  <c r="BD42" i="4"/>
  <c r="BE42" i="4"/>
  <c r="BF42" i="4"/>
  <c r="BG42" i="4"/>
  <c r="BH42" i="4"/>
  <c r="BI42" i="4"/>
  <c r="BJ42" i="4"/>
  <c r="BK42" i="4"/>
  <c r="BL42" i="4"/>
  <c r="BM42" i="4"/>
  <c r="BN42" i="4"/>
  <c r="BO42" i="4"/>
  <c r="BP42" i="4"/>
  <c r="BQ42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Z43" i="4"/>
  <c r="BA43" i="4"/>
  <c r="BB43" i="4"/>
  <c r="BC43" i="4"/>
  <c r="BD43" i="4"/>
  <c r="BE43" i="4"/>
  <c r="BF43" i="4"/>
  <c r="BG43" i="4"/>
  <c r="BH43" i="4"/>
  <c r="BI43" i="4"/>
  <c r="BJ43" i="4"/>
  <c r="BK43" i="4"/>
  <c r="BL43" i="4"/>
  <c r="BM43" i="4"/>
  <c r="BN43" i="4"/>
  <c r="BO43" i="4"/>
  <c r="BP43" i="4"/>
  <c r="BQ43" i="4"/>
  <c r="AT44" i="4"/>
  <c r="BF44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BB45" i="4"/>
  <c r="BC45" i="4"/>
  <c r="BD45" i="4"/>
  <c r="BE45" i="4"/>
  <c r="BF45" i="4"/>
  <c r="BG45" i="4"/>
  <c r="BH45" i="4"/>
  <c r="BI45" i="4"/>
  <c r="BJ45" i="4"/>
  <c r="BK45" i="4"/>
  <c r="BL45" i="4"/>
  <c r="BM45" i="4"/>
  <c r="BN45" i="4"/>
  <c r="BO45" i="4"/>
  <c r="BP45" i="4"/>
  <c r="BQ45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AZ46" i="4"/>
  <c r="BA46" i="4"/>
  <c r="BB46" i="4"/>
  <c r="BC46" i="4"/>
  <c r="BD46" i="4"/>
  <c r="BE46" i="4"/>
  <c r="BF46" i="4"/>
  <c r="BG46" i="4"/>
  <c r="BH46" i="4"/>
  <c r="BI46" i="4"/>
  <c r="BJ46" i="4"/>
  <c r="BK46" i="4"/>
  <c r="BL46" i="4"/>
  <c r="BM46" i="4"/>
  <c r="BN46" i="4"/>
  <c r="BO46" i="4"/>
  <c r="BP46" i="4"/>
  <c r="BQ46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AZ47" i="4"/>
  <c r="BA47" i="4"/>
  <c r="BB47" i="4"/>
  <c r="BC47" i="4"/>
  <c r="BD47" i="4"/>
  <c r="BE47" i="4"/>
  <c r="BF47" i="4"/>
  <c r="BG47" i="4"/>
  <c r="BH47" i="4"/>
  <c r="BI47" i="4"/>
  <c r="BJ47" i="4"/>
  <c r="BK47" i="4"/>
  <c r="BL47" i="4"/>
  <c r="BM47" i="4"/>
  <c r="BN47" i="4"/>
  <c r="BO47" i="4"/>
  <c r="BP47" i="4"/>
  <c r="BQ47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Z48" i="4"/>
  <c r="BA48" i="4"/>
  <c r="BB48" i="4"/>
  <c r="BC48" i="4"/>
  <c r="BD48" i="4"/>
  <c r="BE48" i="4"/>
  <c r="BF48" i="4"/>
  <c r="BG48" i="4"/>
  <c r="BH48" i="4"/>
  <c r="BI48" i="4"/>
  <c r="BJ48" i="4"/>
  <c r="BK48" i="4"/>
  <c r="BL48" i="4"/>
  <c r="BM48" i="4"/>
  <c r="BN48" i="4"/>
  <c r="BO48" i="4"/>
  <c r="BP48" i="4"/>
  <c r="BQ48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Z49" i="4"/>
  <c r="BA49" i="4"/>
  <c r="BB49" i="4"/>
  <c r="BC49" i="4"/>
  <c r="BD49" i="4"/>
  <c r="BE49" i="4"/>
  <c r="BF49" i="4"/>
  <c r="BG49" i="4"/>
  <c r="BH49" i="4"/>
  <c r="BI49" i="4"/>
  <c r="BJ49" i="4"/>
  <c r="BK49" i="4"/>
  <c r="BL49" i="4"/>
  <c r="BM49" i="4"/>
  <c r="BN49" i="4"/>
  <c r="BO49" i="4"/>
  <c r="BP49" i="4"/>
  <c r="BQ49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BA50" i="4"/>
  <c r="BB50" i="4"/>
  <c r="BC50" i="4"/>
  <c r="BD50" i="4"/>
  <c r="BE50" i="4"/>
  <c r="BF50" i="4"/>
  <c r="BG50" i="4"/>
  <c r="BH50" i="4"/>
  <c r="BI50" i="4"/>
  <c r="BJ50" i="4"/>
  <c r="BK50" i="4"/>
  <c r="BL50" i="4"/>
  <c r="BM50" i="4"/>
  <c r="BN50" i="4"/>
  <c r="BO50" i="4"/>
  <c r="BP50" i="4"/>
  <c r="BQ50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AZ51" i="4"/>
  <c r="BA51" i="4"/>
  <c r="BB51" i="4"/>
  <c r="BC51" i="4"/>
  <c r="BD51" i="4"/>
  <c r="BE51" i="4"/>
  <c r="BF51" i="4"/>
  <c r="BG51" i="4"/>
  <c r="BH51" i="4"/>
  <c r="BI51" i="4"/>
  <c r="BJ51" i="4"/>
  <c r="BK51" i="4"/>
  <c r="BL51" i="4"/>
  <c r="BM51" i="4"/>
  <c r="BN51" i="4"/>
  <c r="BO51" i="4"/>
  <c r="BP51" i="4"/>
  <c r="BQ51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Y52" i="4"/>
  <c r="AZ52" i="4"/>
  <c r="BA52" i="4"/>
  <c r="BB52" i="4"/>
  <c r="BC52" i="4"/>
  <c r="BD52" i="4"/>
  <c r="BE52" i="4"/>
  <c r="BF52" i="4"/>
  <c r="BG52" i="4"/>
  <c r="BH52" i="4"/>
  <c r="BI52" i="4"/>
  <c r="BJ52" i="4"/>
  <c r="BK52" i="4"/>
  <c r="BL52" i="4"/>
  <c r="BM52" i="4"/>
  <c r="BN52" i="4"/>
  <c r="BO52" i="4"/>
  <c r="BP52" i="4"/>
  <c r="BQ52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AZ53" i="4"/>
  <c r="BA53" i="4"/>
  <c r="BB53" i="4"/>
  <c r="BC53" i="4"/>
  <c r="BD53" i="4"/>
  <c r="BE53" i="4"/>
  <c r="BF53" i="4"/>
  <c r="BG53" i="4"/>
  <c r="BH53" i="4"/>
  <c r="BI53" i="4"/>
  <c r="BJ53" i="4"/>
  <c r="BK53" i="4"/>
  <c r="BL53" i="4"/>
  <c r="BM53" i="4"/>
  <c r="BN53" i="4"/>
  <c r="BO53" i="4"/>
  <c r="BP53" i="4"/>
  <c r="BQ53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Z54" i="4"/>
  <c r="BA54" i="4"/>
  <c r="BB54" i="4"/>
  <c r="BC54" i="4"/>
  <c r="BD54" i="4"/>
  <c r="BE54" i="4"/>
  <c r="BF54" i="4"/>
  <c r="BG54" i="4"/>
  <c r="BH54" i="4"/>
  <c r="BI54" i="4"/>
  <c r="BJ54" i="4"/>
  <c r="BK54" i="4"/>
  <c r="BL54" i="4"/>
  <c r="BM54" i="4"/>
  <c r="BN54" i="4"/>
  <c r="BO54" i="4"/>
  <c r="BP54" i="4"/>
  <c r="BQ54" i="4"/>
  <c r="AL31" i="4"/>
  <c r="AL33" i="4"/>
  <c r="AL34" i="4"/>
  <c r="AL35" i="4"/>
  <c r="AL36" i="4"/>
  <c r="AL37" i="4"/>
  <c r="AL38" i="4"/>
  <c r="AL39" i="4"/>
  <c r="AL40" i="4"/>
  <c r="AL41" i="4"/>
  <c r="AL42" i="4"/>
  <c r="AL43" i="4"/>
  <c r="AL45" i="4"/>
  <c r="AL46" i="4"/>
  <c r="AL47" i="4"/>
  <c r="AL48" i="4"/>
  <c r="AL49" i="4"/>
  <c r="AL50" i="4"/>
  <c r="AL51" i="4"/>
  <c r="AL52" i="4"/>
  <c r="AL53" i="4"/>
  <c r="AL54" i="4"/>
  <c r="AK33" i="4"/>
  <c r="AK34" i="4"/>
  <c r="AK35" i="4"/>
  <c r="AK36" i="4"/>
  <c r="AK37" i="4"/>
  <c r="AK38" i="4"/>
  <c r="AK39" i="4"/>
  <c r="AK40" i="4"/>
  <c r="AK41" i="4"/>
  <c r="AK42" i="4"/>
  <c r="AK43" i="4"/>
  <c r="AK45" i="4"/>
  <c r="AK46" i="4"/>
  <c r="AK47" i="4"/>
  <c r="AK48" i="4"/>
  <c r="AK49" i="4"/>
  <c r="AK50" i="4"/>
  <c r="AK51" i="4"/>
  <c r="AK52" i="4"/>
  <c r="AK53" i="4"/>
  <c r="AK54" i="4"/>
  <c r="AK31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AK30" i="4"/>
  <c r="AK2" i="4"/>
  <c r="BG44" i="4" l="1"/>
  <c r="AU44" i="4"/>
  <c r="BG32" i="4"/>
  <c r="AU32" i="4"/>
  <c r="BF32" i="4"/>
  <c r="AL44" i="4"/>
  <c r="BQ44" i="4"/>
  <c r="BE44" i="4"/>
  <c r="AS44" i="4"/>
  <c r="BQ32" i="4"/>
  <c r="BE32" i="4"/>
  <c r="AS32" i="4"/>
  <c r="BP44" i="4"/>
  <c r="BD44" i="4"/>
  <c r="AR44" i="4"/>
  <c r="BP32" i="4"/>
  <c r="BD32" i="4"/>
  <c r="AR32" i="4"/>
  <c r="AL32" i="4"/>
  <c r="AK44" i="4"/>
  <c r="AK32" i="4"/>
  <c r="BO44" i="4"/>
  <c r="BC44" i="4"/>
  <c r="AQ44" i="4"/>
  <c r="BH33" i="4"/>
  <c r="AV33" i="4"/>
  <c r="BO32" i="4"/>
  <c r="BC32" i="4"/>
  <c r="AQ32" i="4"/>
  <c r="AX31" i="4"/>
  <c r="BN44" i="4"/>
  <c r="BB44" i="4"/>
  <c r="AP44" i="4"/>
  <c r="BG33" i="4"/>
  <c r="AU33" i="4"/>
  <c r="BN32" i="4"/>
  <c r="BB32" i="4"/>
  <c r="AP32" i="4"/>
  <c r="BI31" i="4"/>
  <c r="AW31" i="4"/>
  <c r="AI61" i="4"/>
  <c r="BM44" i="4"/>
  <c r="BA44" i="4"/>
  <c r="AO44" i="4"/>
  <c r="BK34" i="4"/>
  <c r="AY34" i="4"/>
  <c r="AM34" i="4"/>
  <c r="BF33" i="4"/>
  <c r="AT33" i="4"/>
  <c r="BM32" i="4"/>
  <c r="BA32" i="4"/>
  <c r="AO32" i="4"/>
  <c r="BH31" i="4"/>
  <c r="AV31" i="4"/>
  <c r="AI60" i="4"/>
  <c r="BL44" i="4"/>
  <c r="AZ44" i="4"/>
  <c r="AN44" i="4"/>
  <c r="BJ34" i="4"/>
  <c r="AX34" i="4"/>
  <c r="BQ33" i="4"/>
  <c r="BE33" i="4"/>
  <c r="AS33" i="4"/>
  <c r="BL32" i="4"/>
  <c r="AZ32" i="4"/>
  <c r="AN32" i="4"/>
  <c r="BG31" i="4"/>
  <c r="AU31" i="4"/>
  <c r="AI59" i="4"/>
  <c r="BK44" i="4"/>
  <c r="AY44" i="4"/>
  <c r="AM44" i="4"/>
  <c r="BK32" i="4"/>
  <c r="AY32" i="4"/>
  <c r="AM32" i="4"/>
  <c r="AI70" i="4"/>
  <c r="AI58" i="4"/>
  <c r="BJ44" i="4"/>
  <c r="AX44" i="4"/>
  <c r="BO33" i="4"/>
  <c r="BC33" i="4"/>
  <c r="AQ33" i="4"/>
  <c r="BJ32" i="4"/>
  <c r="AX32" i="4"/>
  <c r="BQ31" i="4"/>
  <c r="BE31" i="4"/>
  <c r="AS31" i="4"/>
  <c r="BI44" i="4"/>
  <c r="AW44" i="4"/>
  <c r="BN33" i="4"/>
  <c r="BB33" i="4"/>
  <c r="AP33" i="4"/>
  <c r="BI32" i="4"/>
  <c r="AW32" i="4"/>
  <c r="BP31" i="4"/>
  <c r="BD31" i="4"/>
  <c r="AR31" i="4"/>
  <c r="BH44" i="4"/>
  <c r="BG39" i="4"/>
  <c r="BF34" i="4"/>
  <c r="BM33" i="4"/>
  <c r="BA33" i="4"/>
  <c r="BH32" i="4"/>
  <c r="BO31" i="4"/>
  <c r="BC31" i="4"/>
  <c r="I104" i="11"/>
  <c r="I103" i="11"/>
  <c r="I97" i="11"/>
  <c r="I96" i="11"/>
  <c r="I95" i="11"/>
  <c r="I85" i="11"/>
  <c r="I98" i="11"/>
  <c r="I99" i="11"/>
  <c r="I100" i="11"/>
  <c r="I101" i="11"/>
  <c r="I102" i="11"/>
  <c r="I105" i="11"/>
  <c r="I106" i="11"/>
  <c r="I84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57" i="11"/>
  <c r="G53" i="11"/>
  <c r="G52" i="11"/>
  <c r="G31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I107" i="11" l="1"/>
  <c r="I94" i="11"/>
  <c r="I93" i="11"/>
  <c r="I92" i="11"/>
  <c r="I91" i="11"/>
  <c r="I90" i="11"/>
  <c r="I89" i="11"/>
  <c r="I88" i="11"/>
  <c r="I87" i="11"/>
  <c r="I86" i="11"/>
  <c r="G39" i="11"/>
  <c r="G38" i="11"/>
  <c r="G37" i="11"/>
  <c r="G36" i="11"/>
  <c r="G35" i="11"/>
  <c r="G34" i="11"/>
  <c r="G33" i="11"/>
  <c r="G30" i="11"/>
  <c r="G32" i="11"/>
  <c r="K23" i="11"/>
  <c r="K22" i="11"/>
  <c r="K21" i="11"/>
  <c r="K4" i="11"/>
  <c r="K17" i="11"/>
  <c r="K16" i="11"/>
  <c r="K10" i="11"/>
  <c r="K11" i="11"/>
  <c r="K12" i="11"/>
  <c r="K13" i="11"/>
  <c r="K14" i="11"/>
  <c r="K15" i="11"/>
  <c r="K24" i="11"/>
  <c r="K25" i="11"/>
  <c r="K26" i="11"/>
  <c r="K3" i="11"/>
  <c r="C8" i="10"/>
  <c r="U7" i="10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" i="1"/>
  <c r="B38" i="7" a="1"/>
  <c r="B38" i="7" s="1"/>
  <c r="K18" i="11" l="1"/>
  <c r="K19" i="11"/>
  <c r="K20" i="11"/>
  <c r="K9" i="11"/>
  <c r="K8" i="11"/>
  <c r="K7" i="11"/>
  <c r="K6" i="11"/>
  <c r="K5" i="11"/>
  <c r="AJ3" i="4"/>
  <c r="AJ4" i="4"/>
  <c r="AP5" i="4"/>
  <c r="BN5" i="4"/>
  <c r="AS5" i="4"/>
  <c r="AJ5" i="4"/>
  <c r="BD5" i="4"/>
  <c r="BC6" i="4"/>
  <c r="BO6" i="4"/>
  <c r="BL6" i="4"/>
  <c r="AT6" i="4"/>
  <c r="BP6" i="4"/>
  <c r="AJ6" i="4"/>
  <c r="AN6" i="4"/>
  <c r="AJ7" i="4"/>
  <c r="BH8" i="4"/>
  <c r="AN8" i="4"/>
  <c r="AL8" i="4"/>
  <c r="AJ8" i="4"/>
  <c r="AT8" i="4"/>
  <c r="AJ9" i="4"/>
  <c r="AX10" i="4"/>
  <c r="BE10" i="4"/>
  <c r="AJ10" i="4"/>
  <c r="AL10" i="4"/>
  <c r="AQ11" i="4"/>
  <c r="BP11" i="4"/>
  <c r="AR11" i="4"/>
  <c r="AO11" i="4"/>
  <c r="AZ11" i="4"/>
  <c r="BK11" i="4"/>
  <c r="AM11" i="4"/>
  <c r="AK11" i="4"/>
  <c r="AV11" i="4"/>
  <c r="AU11" i="4"/>
  <c r="BF11" i="4"/>
  <c r="AT11" i="4"/>
  <c r="AJ11" i="4"/>
  <c r="BC11" i="4"/>
  <c r="BF12" i="4"/>
  <c r="BG12" i="4"/>
  <c r="AU12" i="4"/>
  <c r="BQ12" i="4"/>
  <c r="BE12" i="4"/>
  <c r="AS12" i="4"/>
  <c r="BC12" i="4"/>
  <c r="AQ12" i="4"/>
  <c r="BB12" i="4"/>
  <c r="AP12" i="4"/>
  <c r="BM12" i="4"/>
  <c r="BA12" i="4"/>
  <c r="AO12" i="4"/>
  <c r="AY12" i="4"/>
  <c r="AM12" i="4"/>
  <c r="AX12" i="4"/>
  <c r="AL12" i="4"/>
  <c r="BI12" i="4"/>
  <c r="AW12" i="4"/>
  <c r="AK12" i="4"/>
  <c r="AV12" i="4"/>
  <c r="AJ12" i="4"/>
  <c r="AT12" i="4"/>
  <c r="AJ13" i="4"/>
  <c r="AJ14" i="4"/>
  <c r="AJ15" i="4"/>
  <c r="BN16" i="4"/>
  <c r="BB16" i="4"/>
  <c r="BL16" i="4"/>
  <c r="AN16" i="4"/>
  <c r="BI16" i="4"/>
  <c r="AW16" i="4"/>
  <c r="BH16" i="4"/>
  <c r="BG16" i="4"/>
  <c r="BP16" i="4"/>
  <c r="AR16" i="4"/>
  <c r="BO16" i="4"/>
  <c r="AQ16" i="4"/>
  <c r="AJ16" i="4"/>
  <c r="AP16" i="4"/>
  <c r="AJ17" i="4"/>
  <c r="BQ18" i="4"/>
  <c r="AS18" i="4"/>
  <c r="BM18" i="4"/>
  <c r="AO18" i="4"/>
  <c r="BI18" i="4"/>
  <c r="AK18" i="4"/>
  <c r="AJ18" i="4"/>
  <c r="BE18" i="4"/>
  <c r="AJ19" i="4"/>
  <c r="AN20" i="4"/>
  <c r="BG20" i="4"/>
  <c r="AQ20" i="4"/>
  <c r="AJ20" i="4"/>
  <c r="BK20" i="4"/>
  <c r="AJ21" i="4"/>
  <c r="AJ22" i="4"/>
  <c r="AR22" i="4"/>
  <c r="AX23" i="4"/>
  <c r="AL23" i="4"/>
  <c r="AK23" i="4"/>
  <c r="BG23" i="4"/>
  <c r="BF23" i="4"/>
  <c r="BQ23" i="4"/>
  <c r="AS23" i="4"/>
  <c r="BB23" i="4"/>
  <c r="AQ23" i="4"/>
  <c r="BM23" i="4"/>
  <c r="AO23" i="4"/>
  <c r="BA23" i="4"/>
  <c r="AJ23" i="4"/>
  <c r="BJ23" i="4"/>
  <c r="BM24" i="4"/>
  <c r="BB24" i="4"/>
  <c r="BA24" i="4"/>
  <c r="AZ24" i="4"/>
  <c r="BN24" i="4"/>
  <c r="AO24" i="4"/>
  <c r="AM24" i="4"/>
  <c r="BJ24" i="4"/>
  <c r="AL24" i="4"/>
  <c r="BI24" i="4"/>
  <c r="AW24" i="4"/>
  <c r="AK24" i="4"/>
  <c r="BG24" i="4"/>
  <c r="AU24" i="4"/>
  <c r="BE24" i="4"/>
  <c r="AS24" i="4"/>
  <c r="BF24" i="4"/>
  <c r="BP24" i="4"/>
  <c r="AR24" i="4"/>
  <c r="BD24" i="4"/>
  <c r="BO24" i="4"/>
  <c r="BC24" i="4"/>
  <c r="AJ24" i="4"/>
  <c r="BL24" i="4"/>
  <c r="AJ25" i="4"/>
  <c r="AJ26" i="4"/>
  <c r="AL7" i="4" l="1"/>
  <c r="BH7" i="4"/>
  <c r="AU7" i="4"/>
  <c r="BN7" i="4"/>
  <c r="AS7" i="4"/>
  <c r="AY7" i="4"/>
  <c r="BF7" i="4"/>
  <c r="AK7" i="4"/>
  <c r="AR7" i="4"/>
  <c r="BP7" i="4"/>
  <c r="BL7" i="4"/>
  <c r="AQ7" i="4"/>
  <c r="BB7" i="4"/>
  <c r="AX7" i="4"/>
  <c r="BE7" i="4"/>
  <c r="AM7" i="4"/>
  <c r="BK7" i="4"/>
  <c r="BD7" i="4"/>
  <c r="AZ7" i="4"/>
  <c r="BQ7" i="4"/>
  <c r="AW7" i="4"/>
  <c r="AP7" i="4"/>
  <c r="BC7" i="4"/>
  <c r="BJ7" i="4"/>
  <c r="BM7" i="4"/>
  <c r="BG7" i="4"/>
  <c r="AN7" i="4"/>
  <c r="AV7" i="4"/>
  <c r="BA7" i="4"/>
  <c r="BO7" i="4"/>
  <c r="BI7" i="4"/>
  <c r="AO7" i="4"/>
  <c r="AT7" i="4"/>
  <c r="BQ9" i="4"/>
  <c r="BL9" i="4"/>
  <c r="BC9" i="4"/>
  <c r="AX9" i="4"/>
  <c r="BH9" i="4"/>
  <c r="AN9" i="4"/>
  <c r="BK9" i="4"/>
  <c r="AS9" i="4"/>
  <c r="BP9" i="4"/>
  <c r="AW9" i="4"/>
  <c r="BI9" i="4"/>
  <c r="BB9" i="4"/>
  <c r="BJ9" i="4"/>
  <c r="AT9" i="4"/>
  <c r="AM9" i="4"/>
  <c r="AV9" i="4"/>
  <c r="BF9" i="4"/>
  <c r="BO9" i="4"/>
  <c r="BG9" i="4"/>
  <c r="AR9" i="4"/>
  <c r="AZ9" i="4"/>
  <c r="AU9" i="4"/>
  <c r="BE9" i="4"/>
  <c r="AL9" i="4"/>
  <c r="BM9" i="4"/>
  <c r="AK9" i="4"/>
  <c r="AQ9" i="4"/>
  <c r="BN9" i="4"/>
  <c r="BA9" i="4"/>
  <c r="AP9" i="4"/>
  <c r="BD9" i="4"/>
  <c r="AY9" i="4"/>
  <c r="AO9" i="4"/>
  <c r="BO3" i="4"/>
  <c r="AS3" i="4"/>
  <c r="BK3" i="4"/>
  <c r="BI3" i="4"/>
  <c r="BC3" i="4"/>
  <c r="AM3" i="4"/>
  <c r="BP3" i="4"/>
  <c r="BN3" i="4"/>
  <c r="BJ3" i="4"/>
  <c r="BH3" i="4"/>
  <c r="BA3" i="4"/>
  <c r="AX3" i="4"/>
  <c r="BG3" i="4"/>
  <c r="BB3" i="4"/>
  <c r="AL3" i="4"/>
  <c r="AQ3" i="4"/>
  <c r="BM3" i="4"/>
  <c r="BD3" i="4"/>
  <c r="AZ3" i="4"/>
  <c r="BL3" i="4"/>
  <c r="BF3" i="4"/>
  <c r="AP3" i="4"/>
  <c r="AV3" i="4"/>
  <c r="AW3" i="4"/>
  <c r="AT3" i="4"/>
  <c r="AO3" i="4"/>
  <c r="AR3" i="4"/>
  <c r="AK3" i="4"/>
  <c r="AN3" i="4"/>
  <c r="BE3" i="4"/>
  <c r="AU3" i="4"/>
  <c r="BQ3" i="4"/>
  <c r="AY3" i="4"/>
  <c r="AZ25" i="4"/>
  <c r="BM25" i="4"/>
  <c r="AY25" i="4"/>
  <c r="AR25" i="4"/>
  <c r="BJ25" i="4"/>
  <c r="AO25" i="4"/>
  <c r="BG25" i="4"/>
  <c r="BA25" i="4"/>
  <c r="BL25" i="4"/>
  <c r="AK25" i="4"/>
  <c r="AQ25" i="4"/>
  <c r="AN25" i="4"/>
  <c r="AV25" i="4"/>
  <c r="BO25" i="4"/>
  <c r="BK25" i="4"/>
  <c r="AU25" i="4"/>
  <c r="AX25" i="4"/>
  <c r="BP25" i="4"/>
  <c r="BE25" i="4"/>
  <c r="BF25" i="4"/>
  <c r="BQ25" i="4"/>
  <c r="AL25" i="4"/>
  <c r="AT25" i="4"/>
  <c r="BD25" i="4"/>
  <c r="AW25" i="4"/>
  <c r="AP25" i="4"/>
  <c r="BC25" i="4"/>
  <c r="AM25" i="4"/>
  <c r="BN25" i="4"/>
  <c r="BH25" i="4"/>
  <c r="BI25" i="4"/>
  <c r="BB25" i="4"/>
  <c r="AS25" i="4"/>
  <c r="BB21" i="4"/>
  <c r="AX21" i="4"/>
  <c r="AL21" i="4"/>
  <c r="AP21" i="4"/>
  <c r="BP21" i="4"/>
  <c r="BM21" i="4"/>
  <c r="AW21" i="4"/>
  <c r="AR21" i="4"/>
  <c r="BA21" i="4"/>
  <c r="BH21" i="4"/>
  <c r="BJ21" i="4"/>
  <c r="BD21" i="4"/>
  <c r="AO21" i="4"/>
  <c r="AV21" i="4"/>
  <c r="BQ21" i="4"/>
  <c r="BL21" i="4"/>
  <c r="AK21" i="4"/>
  <c r="BE21" i="4"/>
  <c r="AZ21" i="4"/>
  <c r="BG21" i="4"/>
  <c r="BN21" i="4"/>
  <c r="AS21" i="4"/>
  <c r="AN21" i="4"/>
  <c r="AU21" i="4"/>
  <c r="BO21" i="4"/>
  <c r="BK21" i="4"/>
  <c r="BI21" i="4"/>
  <c r="AT21" i="4"/>
  <c r="BC21" i="4"/>
  <c r="AY21" i="4"/>
  <c r="BF21" i="4"/>
  <c r="AQ21" i="4"/>
  <c r="AM21" i="4"/>
  <c r="BO17" i="4"/>
  <c r="BK17" i="4"/>
  <c r="BG17" i="4"/>
  <c r="AY17" i="4"/>
  <c r="BF17" i="4"/>
  <c r="BC17" i="4"/>
  <c r="AQ17" i="4"/>
  <c r="AM17" i="4"/>
  <c r="AT17" i="4"/>
  <c r="BN17" i="4"/>
  <c r="BJ17" i="4"/>
  <c r="AS17" i="4"/>
  <c r="BB17" i="4"/>
  <c r="AX17" i="4"/>
  <c r="AN17" i="4"/>
  <c r="AP17" i="4"/>
  <c r="AL17" i="4"/>
  <c r="BP17" i="4"/>
  <c r="BM17" i="4"/>
  <c r="BI17" i="4"/>
  <c r="BD17" i="4"/>
  <c r="BA17" i="4"/>
  <c r="AW17" i="4"/>
  <c r="AU17" i="4"/>
  <c r="AR17" i="4"/>
  <c r="AO17" i="4"/>
  <c r="AK17" i="4"/>
  <c r="BQ17" i="4"/>
  <c r="BL17" i="4"/>
  <c r="BH17" i="4"/>
  <c r="BE17" i="4"/>
  <c r="AZ17" i="4"/>
  <c r="AV17" i="4"/>
  <c r="AU14" i="4"/>
  <c r="BE14" i="4"/>
  <c r="AW14" i="4"/>
  <c r="AZ14" i="4"/>
  <c r="BC14" i="4"/>
  <c r="AT14" i="4"/>
  <c r="BJ14" i="4"/>
  <c r="BA14" i="4"/>
  <c r="BI14" i="4"/>
  <c r="AR14" i="4"/>
  <c r="BO14" i="4"/>
  <c r="BH14" i="4"/>
  <c r="AQ14" i="4"/>
  <c r="AK14" i="4"/>
  <c r="AV14" i="4"/>
  <c r="BQ14" i="4"/>
  <c r="BG14" i="4"/>
  <c r="BB14" i="4"/>
  <c r="BP14" i="4"/>
  <c r="BN14" i="4"/>
  <c r="AS14" i="4"/>
  <c r="AL14" i="4"/>
  <c r="BM14" i="4"/>
  <c r="AM14" i="4"/>
  <c r="AO14" i="4"/>
  <c r="AN14" i="4"/>
  <c r="BD14" i="4"/>
  <c r="AP14" i="4"/>
  <c r="AY14" i="4"/>
  <c r="BF14" i="4"/>
  <c r="AX14" i="4"/>
  <c r="BK14" i="4"/>
  <c r="BL14" i="4"/>
  <c r="AW13" i="4"/>
  <c r="AS13" i="4"/>
  <c r="AO13" i="4"/>
  <c r="BJ13" i="4"/>
  <c r="BP13" i="4"/>
  <c r="AZ13" i="4"/>
  <c r="AX13" i="4"/>
  <c r="BD13" i="4"/>
  <c r="BL13" i="4"/>
  <c r="AL13" i="4"/>
  <c r="AR13" i="4"/>
  <c r="AN13" i="4"/>
  <c r="BH13" i="4"/>
  <c r="BO13" i="4"/>
  <c r="BK13" i="4"/>
  <c r="AV13" i="4"/>
  <c r="BC13" i="4"/>
  <c r="AY13" i="4"/>
  <c r="BG13" i="4"/>
  <c r="AQ13" i="4"/>
  <c r="AM13" i="4"/>
  <c r="BE13" i="4"/>
  <c r="AU13" i="4"/>
  <c r="BN13" i="4"/>
  <c r="AK13" i="4"/>
  <c r="BF13" i="4"/>
  <c r="BB13" i="4"/>
  <c r="AT13" i="4"/>
  <c r="AP13" i="4"/>
  <c r="BA13" i="4"/>
  <c r="BI13" i="4"/>
  <c r="BQ13" i="4"/>
  <c r="BM13" i="4"/>
  <c r="AQ4" i="4"/>
  <c r="AY4" i="4"/>
  <c r="AP4" i="4"/>
  <c r="BF4" i="4"/>
  <c r="BM4" i="4"/>
  <c r="BJ4" i="4"/>
  <c r="AO4" i="4"/>
  <c r="AW4" i="4"/>
  <c r="AX4" i="4"/>
  <c r="BE4" i="4"/>
  <c r="BL4" i="4"/>
  <c r="AL4" i="4"/>
  <c r="AN4" i="4"/>
  <c r="AV4" i="4"/>
  <c r="BC4" i="4"/>
  <c r="BK4" i="4"/>
  <c r="BB4" i="4"/>
  <c r="AM4" i="4"/>
  <c r="AU4" i="4"/>
  <c r="BH4" i="4"/>
  <c r="BA4" i="4"/>
  <c r="BP4" i="4"/>
  <c r="AS4" i="4"/>
  <c r="AK4" i="4"/>
  <c r="BD4" i="4"/>
  <c r="BO4" i="4"/>
  <c r="BI4" i="4"/>
  <c r="BQ4" i="4"/>
  <c r="AR4" i="4"/>
  <c r="AT4" i="4"/>
  <c r="AZ4" i="4"/>
  <c r="BN4" i="4"/>
  <c r="BG4" i="4"/>
  <c r="BE26" i="4"/>
  <c r="AR26" i="4"/>
  <c r="AS26" i="4"/>
  <c r="BJ26" i="4"/>
  <c r="AP26" i="4"/>
  <c r="BL26" i="4"/>
  <c r="BK26" i="4"/>
  <c r="AK26" i="4"/>
  <c r="BG26" i="4"/>
  <c r="BO26" i="4"/>
  <c r="AT26" i="4"/>
  <c r="AY26" i="4"/>
  <c r="BF26" i="4"/>
  <c r="BD26" i="4"/>
  <c r="AM26" i="4"/>
  <c r="AX26" i="4"/>
  <c r="AW26" i="4"/>
  <c r="AQ26" i="4"/>
  <c r="BH26" i="4"/>
  <c r="BM26" i="4"/>
  <c r="BQ26" i="4"/>
  <c r="BB26" i="4"/>
  <c r="AV26" i="4"/>
  <c r="AO26" i="4"/>
  <c r="AL26" i="4"/>
  <c r="BN26" i="4"/>
  <c r="AN26" i="4"/>
  <c r="BA26" i="4"/>
  <c r="AU26" i="4"/>
  <c r="BI26" i="4"/>
  <c r="BP26" i="4"/>
  <c r="BC26" i="4"/>
  <c r="AZ26" i="4"/>
  <c r="AK19" i="4"/>
  <c r="AR19" i="4"/>
  <c r="AN19" i="4"/>
  <c r="BH19" i="4"/>
  <c r="BC19" i="4"/>
  <c r="AV19" i="4"/>
  <c r="BN19" i="4"/>
  <c r="BG19" i="4"/>
  <c r="BB19" i="4"/>
  <c r="BJ19" i="4"/>
  <c r="AU19" i="4"/>
  <c r="AP19" i="4"/>
  <c r="AX19" i="4"/>
  <c r="BF19" i="4"/>
  <c r="BO19" i="4"/>
  <c r="AL19" i="4"/>
  <c r="AT19" i="4"/>
  <c r="BM19" i="4"/>
  <c r="BK19" i="4"/>
  <c r="BQ19" i="4"/>
  <c r="AO19" i="4"/>
  <c r="AZ19" i="4"/>
  <c r="AY19" i="4"/>
  <c r="BE19" i="4"/>
  <c r="AQ19" i="4"/>
  <c r="AM19" i="4"/>
  <c r="AS19" i="4"/>
  <c r="BA19" i="4"/>
  <c r="BD19" i="4"/>
  <c r="BI19" i="4"/>
  <c r="BP19" i="4"/>
  <c r="BL19" i="4"/>
  <c r="AW19" i="4"/>
  <c r="AY15" i="4"/>
  <c r="BE15" i="4"/>
  <c r="AO15" i="4"/>
  <c r="AM15" i="4"/>
  <c r="AS15" i="4"/>
  <c r="BA15" i="4"/>
  <c r="BI15" i="4"/>
  <c r="BP15" i="4"/>
  <c r="BL15" i="4"/>
  <c r="AW15" i="4"/>
  <c r="BD15" i="4"/>
  <c r="AZ15" i="4"/>
  <c r="AK15" i="4"/>
  <c r="AR15" i="4"/>
  <c r="AN15" i="4"/>
  <c r="BH15" i="4"/>
  <c r="BO15" i="4"/>
  <c r="BK15" i="4"/>
  <c r="AV15" i="4"/>
  <c r="BC15" i="4"/>
  <c r="BG15" i="4"/>
  <c r="AQ15" i="4"/>
  <c r="BM15" i="4"/>
  <c r="BJ15" i="4"/>
  <c r="AU15" i="4"/>
  <c r="BN15" i="4"/>
  <c r="AL15" i="4"/>
  <c r="BF15" i="4"/>
  <c r="BB15" i="4"/>
  <c r="BQ15" i="4"/>
  <c r="AX15" i="4"/>
  <c r="AT15" i="4"/>
  <c r="AP15" i="4"/>
  <c r="BN23" i="4"/>
  <c r="AV23" i="4"/>
  <c r="AN22" i="4"/>
  <c r="BP22" i="4"/>
  <c r="BC20" i="4"/>
  <c r="AV20" i="4"/>
  <c r="AZ20" i="4"/>
  <c r="AX18" i="4"/>
  <c r="AP18" i="4"/>
  <c r="AT18" i="4"/>
  <c r="AW11" i="4"/>
  <c r="BA11" i="4"/>
  <c r="BQ10" i="4"/>
  <c r="BJ10" i="4"/>
  <c r="AX8" i="4"/>
  <c r="BB8" i="4"/>
  <c r="AU8" i="4"/>
  <c r="AV6" i="4"/>
  <c r="AY6" i="4"/>
  <c r="AO6" i="4"/>
  <c r="BE5" i="4"/>
  <c r="AY5" i="4"/>
  <c r="BF5" i="4"/>
  <c r="BL22" i="4"/>
  <c r="AY24" i="4"/>
  <c r="BO23" i="4"/>
  <c r="BH23" i="4"/>
  <c r="AK22" i="4"/>
  <c r="AO22" i="4"/>
  <c r="AS22" i="4"/>
  <c r="BO20" i="4"/>
  <c r="BH20" i="4"/>
  <c r="BL20" i="4"/>
  <c r="AL18" i="4"/>
  <c r="BB18" i="4"/>
  <c r="BF18" i="4"/>
  <c r="AS16" i="4"/>
  <c r="AL16" i="4"/>
  <c r="BA16" i="4"/>
  <c r="BK12" i="4"/>
  <c r="BO12" i="4"/>
  <c r="BI11" i="4"/>
  <c r="BM11" i="4"/>
  <c r="AP10" i="4"/>
  <c r="AT10" i="4"/>
  <c r="AM10" i="4"/>
  <c r="BJ8" i="4"/>
  <c r="BQ8" i="4"/>
  <c r="BI8" i="4"/>
  <c r="AL6" i="4"/>
  <c r="BM6" i="4"/>
  <c r="BE6" i="4"/>
  <c r="BQ5" i="4"/>
  <c r="BO5" i="4"/>
  <c r="AR5" i="4"/>
  <c r="BQ24" i="4"/>
  <c r="AT24" i="4"/>
  <c r="BK24" i="4"/>
  <c r="AN23" i="4"/>
  <c r="AR23" i="4"/>
  <c r="AM23" i="4"/>
  <c r="AW22" i="4"/>
  <c r="BA22" i="4"/>
  <c r="BE22" i="4"/>
  <c r="AR20" i="4"/>
  <c r="AK20" i="4"/>
  <c r="AP20" i="4"/>
  <c r="BJ18" i="4"/>
  <c r="BN18" i="4"/>
  <c r="AV18" i="4"/>
  <c r="BE16" i="4"/>
  <c r="AX16" i="4"/>
  <c r="AO16" i="4"/>
  <c r="AN12" i="4"/>
  <c r="AR12" i="4"/>
  <c r="AS11" i="4"/>
  <c r="AL11" i="4"/>
  <c r="AP11" i="4"/>
  <c r="BB10" i="4"/>
  <c r="BF10" i="4"/>
  <c r="AY10" i="4"/>
  <c r="AR8" i="4"/>
  <c r="AO8" i="4"/>
  <c r="AV8" i="4"/>
  <c r="AX6" i="4"/>
  <c r="AZ6" i="4"/>
  <c r="AQ6" i="4"/>
  <c r="AU5" i="4"/>
  <c r="AK5" i="4"/>
  <c r="BI5" i="4"/>
  <c r="AQ24" i="4"/>
  <c r="AV24" i="4"/>
  <c r="AP24" i="4"/>
  <c r="AZ23" i="4"/>
  <c r="BD23" i="4"/>
  <c r="AY23" i="4"/>
  <c r="BI22" i="4"/>
  <c r="BM22" i="4"/>
  <c r="BQ22" i="4"/>
  <c r="BP20" i="4"/>
  <c r="AW20" i="4"/>
  <c r="BB20" i="4"/>
  <c r="AZ18" i="4"/>
  <c r="AQ18" i="4"/>
  <c r="BH18" i="4"/>
  <c r="BQ16" i="4"/>
  <c r="BJ16" i="4"/>
  <c r="BM16" i="4"/>
  <c r="AZ12" i="4"/>
  <c r="BD12" i="4"/>
  <c r="BE11" i="4"/>
  <c r="AX11" i="4"/>
  <c r="BB11" i="4"/>
  <c r="BN10" i="4"/>
  <c r="AU10" i="4"/>
  <c r="BK10" i="4"/>
  <c r="BD8" i="4"/>
  <c r="BC8" i="4"/>
  <c r="BK8" i="4"/>
  <c r="BJ6" i="4"/>
  <c r="BN6" i="4"/>
  <c r="BG6" i="4"/>
  <c r="BG5" i="4"/>
  <c r="AZ5" i="4"/>
  <c r="AQ5" i="4"/>
  <c r="AN24" i="4"/>
  <c r="BL23" i="4"/>
  <c r="BP23" i="4"/>
  <c r="BK23" i="4"/>
  <c r="AL22" i="4"/>
  <c r="AP22" i="4"/>
  <c r="AV22" i="4"/>
  <c r="BD20" i="4"/>
  <c r="BI20" i="4"/>
  <c r="BN20" i="4"/>
  <c r="AM18" i="4"/>
  <c r="BC18" i="4"/>
  <c r="BG18" i="4"/>
  <c r="AT16" i="4"/>
  <c r="AM16" i="4"/>
  <c r="BH12" i="4"/>
  <c r="BL12" i="4"/>
  <c r="BP12" i="4"/>
  <c r="BQ11" i="4"/>
  <c r="BJ11" i="4"/>
  <c r="BN11" i="4"/>
  <c r="BC10" i="4"/>
  <c r="BG10" i="4"/>
  <c r="AO10" i="4"/>
  <c r="BP8" i="4"/>
  <c r="AP8" i="4"/>
  <c r="AY8" i="4"/>
  <c r="AS6" i="4"/>
  <c r="AK6" i="4"/>
  <c r="BF6" i="4"/>
  <c r="AT5" i="4"/>
  <c r="BP5" i="4"/>
  <c r="BH5" i="4"/>
  <c r="BJ22" i="4"/>
  <c r="BB22" i="4"/>
  <c r="BH22" i="4"/>
  <c r="AS20" i="4"/>
  <c r="AL20" i="4"/>
  <c r="AO20" i="4"/>
  <c r="AY18" i="4"/>
  <c r="BO18" i="4"/>
  <c r="AU18" i="4"/>
  <c r="BF16" i="4"/>
  <c r="AY16" i="4"/>
  <c r="AQ10" i="4"/>
  <c r="AV10" i="4"/>
  <c r="BA10" i="4"/>
  <c r="AK8" i="4"/>
  <c r="BE8" i="4"/>
  <c r="BM8" i="4"/>
  <c r="BH6" i="4"/>
  <c r="BA6" i="4"/>
  <c r="AP6" i="4"/>
  <c r="BJ5" i="4"/>
  <c r="AL5" i="4"/>
  <c r="BC23" i="4"/>
  <c r="BE23" i="4"/>
  <c r="AW23" i="4"/>
  <c r="AX22" i="4"/>
  <c r="BN22" i="4"/>
  <c r="BG22" i="4"/>
  <c r="BE20" i="4"/>
  <c r="AX20" i="4"/>
  <c r="BA20" i="4"/>
  <c r="BK18" i="4"/>
  <c r="AR18" i="4"/>
  <c r="AU16" i="4"/>
  <c r="BK16" i="4"/>
  <c r="AY11" i="4"/>
  <c r="BD11" i="4"/>
  <c r="BO10" i="4"/>
  <c r="BH10" i="4"/>
  <c r="BM10" i="4"/>
  <c r="AZ8" i="4"/>
  <c r="AQ8" i="4"/>
  <c r="AW8" i="4"/>
  <c r="AV5" i="4"/>
  <c r="BB5" i="4"/>
  <c r="AZ22" i="4"/>
  <c r="AQ22" i="4"/>
  <c r="AT22" i="4"/>
  <c r="BQ20" i="4"/>
  <c r="BJ20" i="4"/>
  <c r="BM20" i="4"/>
  <c r="AN18" i="4"/>
  <c r="BD18" i="4"/>
  <c r="AR10" i="4"/>
  <c r="AK10" i="4"/>
  <c r="BL10" i="4"/>
  <c r="BN8" i="4"/>
  <c r="BF8" i="4"/>
  <c r="BL8" i="4"/>
  <c r="BI6" i="4"/>
  <c r="AM6" i="4"/>
  <c r="BK5" i="4"/>
  <c r="AM5" i="4"/>
  <c r="AT23" i="4"/>
  <c r="BI23" i="4"/>
  <c r="AM22" i="4"/>
  <c r="BC22" i="4"/>
  <c r="BF22" i="4"/>
  <c r="BF20" i="4"/>
  <c r="AM20" i="4"/>
  <c r="BL18" i="4"/>
  <c r="BP18" i="4"/>
  <c r="BC16" i="4"/>
  <c r="AV16" i="4"/>
  <c r="AZ16" i="4"/>
  <c r="BG11" i="4"/>
  <c r="AN11" i="4"/>
  <c r="BO11" i="4"/>
  <c r="BD10" i="4"/>
  <c r="AW10" i="4"/>
  <c r="AN10" i="4"/>
  <c r="AM8" i="4"/>
  <c r="AS8" i="4"/>
  <c r="AU6" i="4"/>
  <c r="BB6" i="4"/>
  <c r="AO5" i="4"/>
  <c r="AW5" i="4"/>
  <c r="BC5" i="4"/>
  <c r="AY22" i="4"/>
  <c r="AU22" i="4"/>
  <c r="AT20" i="4"/>
  <c r="BP10" i="4"/>
  <c r="BI10" i="4"/>
  <c r="AZ10" i="4"/>
  <c r="BA8" i="4"/>
  <c r="BG8" i="4"/>
  <c r="AR6" i="4"/>
  <c r="BK6" i="4"/>
  <c r="BQ6" i="4"/>
  <c r="BA5" i="4"/>
  <c r="BL5" i="4"/>
  <c r="AN5" i="4"/>
  <c r="BD22" i="4"/>
  <c r="BO22" i="4"/>
  <c r="AY20" i="4"/>
  <c r="BH24" i="4"/>
  <c r="AX24" i="4"/>
  <c r="AP23" i="4"/>
  <c r="AU23" i="4"/>
  <c r="BK22" i="4"/>
  <c r="AU20" i="4"/>
  <c r="AW18" i="4"/>
  <c r="BA18" i="4"/>
  <c r="BD16" i="4"/>
  <c r="AK16" i="4"/>
  <c r="BJ12" i="4"/>
  <c r="BN12" i="4"/>
  <c r="BH11" i="4"/>
  <c r="BL11" i="4"/>
  <c r="AS10" i="4"/>
  <c r="BO8" i="4"/>
  <c r="BD6" i="4"/>
  <c r="AW6" i="4"/>
  <c r="BM5" i="4"/>
  <c r="AX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tc={1CC254AC-2235-4582-87D6-9311FA11AC40}</author>
    <author>tc={106DEA7B-0E8E-4ACA-BC00-CAC771496A08}</author>
    <author>tc={1989A2D0-FB19-4967-A0E0-270734CE88DA}</author>
    <author>tc={7A6C9848-5377-412D-80C3-1315BB77BA7B}</author>
    <author>tc={BD0BFB53-0CF8-4041-8F04-754CD0A29C7C}</author>
    <author>tc={B22A25A4-1733-476C-B373-8BC05F6F37F8}</author>
    <author>tc={1B21C083-787A-4E57-9C38-93B8F64ACCD2}</author>
  </authors>
  <commentList>
    <comment ref="AF4" authorId="0" shapeId="0" xr:uid="{1CC254AC-2235-4582-87D6-9311FA11AC40}">
      <text>
        <t>[线程批注]
你的Excel版本可读取此线程批注; 但如果在更新版本的Excel中打开文件，则对批注所作的任何改动都将被删除。了解详细信息: https://go.microsoft.com/fwlink/?linkid=870924
注释:
    file:///F:/Edge_downloads/1-s2.0-S0360544223029705-main.pdf</t>
      </text>
    </comment>
    <comment ref="AF5" authorId="1" shapeId="0" xr:uid="{106DEA7B-0E8E-4ACA-BC00-CAC771496A08}">
      <text>
        <t>[线程批注]
你的Excel版本可读取此线程批注; 但如果在更新版本的Excel中打开文件，则对批注所作的任何改动都将被删除。了解详细信息: https://go.microsoft.com/fwlink/?linkid=870924
注释:
    file:///F:/Edge_downloads/1-s2.0-S0360544221030449-main.pdf
(1)</t>
      </text>
    </comment>
    <comment ref="AF6" authorId="2" shapeId="0" xr:uid="{1989A2D0-FB19-4967-A0E0-270734CE88DA}">
      <text>
        <t>[线程批注]
你的Excel版本可读取此线程批注; 但如果在更新版本的Excel中打开文件，则对批注所作的任何改动都将被删除。了解详细信息: https://go.microsoft.com/fwlink/?linkid=870924
注释:
    https://ieeexplore.ieee.org/abstract/document/9944193
表1</t>
      </text>
    </comment>
    <comment ref="A17" authorId="3" shapeId="0" xr:uid="{7A6C9848-5377-412D-80C3-1315BB77BA7B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https://fgw.gz.gov.cn/ztzl/gzsfzggwzdlyxxgkzl/ys/content/post_9497778.html
</t>
      </text>
    </comment>
    <comment ref="A18" authorId="4" shapeId="0" xr:uid="{BD0BFB53-0CF8-4041-8F04-754CD0A29C7C}">
      <text>
        <t>[线程批注]
你的Excel版本可读取此线程批注; 但如果在更新版本的Excel中打开文件，则对批注所作的任何改动都将被删除。了解详细信息: https://go.microsoft.com/fwlink/?linkid=870924
注释:
    https://drc.gd.gov.cn/snyj/tzgg/content/post_4582745.html?</t>
      </text>
    </comment>
    <comment ref="A19" authorId="5" shapeId="0" xr:uid="{B22A25A4-1733-476C-B373-8BC05F6F37F8}">
      <text>
        <t>[线程批注]
你的Excel版本可读取此线程批注; 但如果在更新版本的Excel中打开文件，则对批注所作的任何改动都将被删除。了解详细信息: https://go.microsoft.com/fwlink/?linkid=870924
注释:
    https://fgw.gz.gov.cn/gkmlpt/content/10/10066/post_10066667.html#483</t>
      </text>
    </comment>
    <comment ref="A20" authorId="6" shapeId="0" xr:uid="{1B21C083-787A-4E57-9C38-93B8F64ACCD2}">
      <text>
        <t>[线程批注]
你的Excel版本可读取此线程批注; 但如果在更新版本的Excel中打开文件，则对批注所作的任何改动都将被删除。了解详细信息: https://go.microsoft.com/fwlink/?linkid=870924
注释:
    https://drc.gd.gov.cn/gkmlpt/content/4/4445/post_4445251.html#877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<sst xmlns="http://schemas.openxmlformats.org/spreadsheetml/2006/main" count="454" uniqueCount="231">
  <si>
    <t>Hour</t>
    <phoneticPr fontId="10" type="noConversion"/>
  </si>
  <si>
    <t>P_W^f_1</t>
    <phoneticPr fontId="10" type="noConversion"/>
  </si>
  <si>
    <t>P_W^f_2</t>
  </si>
  <si>
    <t>P_W^f_3</t>
  </si>
  <si>
    <t>Bus</t>
    <phoneticPr fontId="10" type="noConversion"/>
  </si>
  <si>
    <t>W1</t>
    <phoneticPr fontId="10" type="noConversion"/>
  </si>
  <si>
    <t>W2</t>
    <phoneticPr fontId="10" type="noConversion"/>
  </si>
  <si>
    <t>W3</t>
    <phoneticPr fontId="10" type="noConversion"/>
  </si>
  <si>
    <t>Branch Num</t>
    <phoneticPr fontId="10" type="noConversion"/>
  </si>
  <si>
    <t>From</t>
    <phoneticPr fontId="10" type="noConversion"/>
  </si>
  <si>
    <t>To</t>
    <phoneticPr fontId="10" type="noConversion"/>
  </si>
  <si>
    <t>Bus1</t>
    <phoneticPr fontId="10" type="noConversion"/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</si>
  <si>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</si>
  <si>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</si>
  <si>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</si>
  <si>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</si>
  <si>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</si>
  <si>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</si>
  <si>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</si>
  <si>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</si>
  <si>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</si>
  <si>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</si>
  <si>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</si>
  <si>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</si>
  <si>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</si>
  <si>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Bus15</t>
  </si>
  <si>
    <t>Bus16</t>
  </si>
  <si>
    <t>Bus17</t>
  </si>
  <si>
    <t>Bus18</t>
  </si>
  <si>
    <t>Bus19</t>
  </si>
  <si>
    <t>Bus20</t>
  </si>
  <si>
    <t>Bus21</t>
  </si>
  <si>
    <t>Bus22</t>
  </si>
  <si>
    <t>Bus23</t>
  </si>
  <si>
    <t>Bus24</t>
  </si>
  <si>
    <t>Bus25</t>
  </si>
  <si>
    <t>Bus26</t>
  </si>
  <si>
    <t>Bus27</t>
  </si>
  <si>
    <t>Bus28</t>
  </si>
  <si>
    <t>Bus29</t>
  </si>
  <si>
    <t>Bus30</t>
  </si>
  <si>
    <t>Bus31</t>
  </si>
  <si>
    <t>Bus32</t>
  </si>
  <si>
    <t>Bus33</t>
  </si>
  <si>
    <t>Total</t>
    <phoneticPr fontId="10" type="noConversion"/>
  </si>
  <si>
    <t>CHP</t>
    <phoneticPr fontId="10" type="noConversion"/>
  </si>
  <si>
    <t>CHP1</t>
    <phoneticPr fontId="10" type="noConversion"/>
  </si>
  <si>
    <t>CHP2</t>
    <phoneticPr fontId="10" type="noConversion"/>
  </si>
  <si>
    <t>CHP3</t>
    <phoneticPr fontId="10" type="noConversion"/>
  </si>
  <si>
    <t>BS</t>
    <phoneticPr fontId="10" type="noConversion"/>
  </si>
  <si>
    <t>BS1</t>
    <phoneticPr fontId="10" type="noConversion"/>
  </si>
  <si>
    <t>BS2</t>
    <phoneticPr fontId="10" type="noConversion"/>
  </si>
  <si>
    <t>EB</t>
    <phoneticPr fontId="10" type="noConversion"/>
  </si>
  <si>
    <t>EB1</t>
    <phoneticPr fontId="10" type="noConversion"/>
  </si>
  <si>
    <t>EB2</t>
    <phoneticPr fontId="10" type="noConversion"/>
  </si>
  <si>
    <t>GT</t>
    <phoneticPr fontId="10" type="noConversion"/>
  </si>
  <si>
    <t>GT1</t>
    <phoneticPr fontId="10" type="noConversion"/>
  </si>
  <si>
    <t>GT2</t>
    <phoneticPr fontId="10" type="noConversion"/>
  </si>
  <si>
    <t>P (MW)</t>
    <phoneticPr fontId="10" type="noConversion"/>
  </si>
  <si>
    <t>Q (Mvar)</t>
    <phoneticPr fontId="10" type="noConversion"/>
  </si>
  <si>
    <t xml:space="preserve">Bus1 </t>
    <phoneticPr fontId="10" type="noConversion"/>
  </si>
  <si>
    <t>BUS1</t>
    <phoneticPr fontId="10" type="noConversion"/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</si>
  <si>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</si>
  <si>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</si>
  <si>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</si>
  <si>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</si>
  <si>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</si>
  <si>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</si>
  <si>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</si>
  <si>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</si>
  <si>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</si>
  <si>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</si>
  <si>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</si>
  <si>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</si>
  <si>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</si>
  <si>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BUS15</t>
  </si>
  <si>
    <t>BUS16</t>
  </si>
  <si>
    <t>BUS17</t>
  </si>
  <si>
    <t>BUS18</t>
  </si>
  <si>
    <t>BUS19</t>
  </si>
  <si>
    <t>BUS20</t>
  </si>
  <si>
    <t>BUS21</t>
  </si>
  <si>
    <t>BUS22</t>
  </si>
  <si>
    <t>BUS23</t>
  </si>
  <si>
    <t>BUS24</t>
  </si>
  <si>
    <t>BUS25</t>
  </si>
  <si>
    <t>BUS26</t>
  </si>
  <si>
    <t>BUS27</t>
  </si>
  <si>
    <t>BUS28</t>
  </si>
  <si>
    <t>BUS29</t>
  </si>
  <si>
    <t>BUS30</t>
  </si>
  <si>
    <t>BUS31</t>
  </si>
  <si>
    <t>BUS32</t>
  </si>
  <si>
    <t>BUS33</t>
  </si>
  <si>
    <t>LINE1</t>
    <phoneticPr fontId="10" type="noConversion"/>
  </si>
  <si>
    <t>LINE2</t>
  </si>
  <si>
    <t>LINE3</t>
  </si>
  <si>
    <t>LINE4</t>
  </si>
  <si>
    <t>LINE5</t>
  </si>
  <si>
    <t>LINE6</t>
  </si>
  <si>
    <t>LINE7</t>
  </si>
  <si>
    <t>LINE8</t>
  </si>
  <si>
    <t>LINE9</t>
  </si>
  <si>
    <t>LINE10</t>
  </si>
  <si>
    <t>LINE11</t>
  </si>
  <si>
    <t>LINE12</t>
  </si>
  <si>
    <t>LINE13</t>
  </si>
  <si>
    <t>LINE14</t>
  </si>
  <si>
    <t>LINE15</t>
  </si>
  <si>
    <t>LINE16</t>
  </si>
  <si>
    <t>LINE17</t>
  </si>
  <si>
    <t>LINE18</t>
  </si>
  <si>
    <t>LINE19</t>
  </si>
  <si>
    <t>LINE20</t>
  </si>
  <si>
    <t>LINE21</t>
  </si>
  <si>
    <t>LINE22</t>
  </si>
  <si>
    <t>LINE23</t>
  </si>
  <si>
    <t>LINE24</t>
  </si>
  <si>
    <t>LINE25</t>
  </si>
  <si>
    <t>LINE26</t>
  </si>
  <si>
    <t>LINE27</t>
  </si>
  <si>
    <t>LINE28</t>
  </si>
  <si>
    <t>LINE29</t>
  </si>
  <si>
    <t>LINE30</t>
  </si>
  <si>
    <t>LINE31</t>
  </si>
  <si>
    <t>LINE32</t>
  </si>
  <si>
    <t>C</t>
    <phoneticPr fontId="10" type="noConversion"/>
  </si>
  <si>
    <t>C_hat^-1</t>
    <phoneticPr fontId="10" type="noConversion"/>
  </si>
  <si>
    <t>BUS2</t>
    <phoneticPr fontId="10" type="noConversion"/>
  </si>
  <si>
    <t>MW</t>
    <phoneticPr fontId="17" type="noConversion"/>
  </si>
  <si>
    <t>Pmax</t>
    <phoneticPr fontId="17" type="noConversion"/>
  </si>
  <si>
    <t>$/MWh</t>
    <phoneticPr fontId="17" type="noConversion"/>
  </si>
  <si>
    <t>cost</t>
    <phoneticPr fontId="17" type="noConversion"/>
  </si>
  <si>
    <t>eta</t>
    <phoneticPr fontId="17" type="noConversion"/>
  </si>
  <si>
    <t>Pmin</t>
    <phoneticPr fontId="17" type="noConversion"/>
  </si>
  <si>
    <t>Cost_D</t>
    <phoneticPr fontId="17" type="noConversion"/>
  </si>
  <si>
    <t>Cost_C</t>
    <phoneticPr fontId="17" type="noConversion"/>
  </si>
  <si>
    <t>down</t>
    <phoneticPr fontId="17" type="noConversion"/>
  </si>
  <si>
    <t>ramp</t>
    <phoneticPr fontId="17" type="noConversion"/>
  </si>
  <si>
    <t>GT2</t>
    <phoneticPr fontId="17" type="noConversion"/>
  </si>
  <si>
    <t>GT1</t>
    <phoneticPr fontId="17" type="noConversion"/>
  </si>
  <si>
    <t>MWh</t>
    <phoneticPr fontId="17" type="noConversion"/>
  </si>
  <si>
    <t>Emin</t>
    <phoneticPr fontId="17" type="noConversion"/>
  </si>
  <si>
    <t>Cost</t>
    <phoneticPr fontId="17" type="noConversion"/>
  </si>
  <si>
    <t>Emax</t>
    <phoneticPr fontId="17" type="noConversion"/>
  </si>
  <si>
    <t>Pmin_D</t>
    <phoneticPr fontId="17" type="noConversion"/>
  </si>
  <si>
    <t>Mvar</t>
    <phoneticPr fontId="17" type="noConversion"/>
  </si>
  <si>
    <t>Qmin</t>
    <phoneticPr fontId="17" type="noConversion"/>
  </si>
  <si>
    <t>Pmax_D</t>
    <phoneticPr fontId="17" type="noConversion"/>
  </si>
  <si>
    <t>Qmax</t>
    <phoneticPr fontId="17" type="noConversion"/>
  </si>
  <si>
    <t>Pmin_C</t>
    <phoneticPr fontId="17" type="noConversion"/>
  </si>
  <si>
    <t>Pmax_C</t>
    <phoneticPr fontId="17" type="noConversion"/>
  </si>
  <si>
    <t>EB2</t>
    <phoneticPr fontId="17" type="noConversion"/>
  </si>
  <si>
    <t>EB1</t>
    <phoneticPr fontId="17" type="noConversion"/>
  </si>
  <si>
    <t>BS2</t>
    <phoneticPr fontId="17" type="noConversion"/>
  </si>
  <si>
    <t>BS1</t>
    <phoneticPr fontId="17" type="noConversion"/>
  </si>
  <si>
    <t>CHP3</t>
    <phoneticPr fontId="17" type="noConversion"/>
  </si>
  <si>
    <t>CHP2</t>
    <phoneticPr fontId="17" type="noConversion"/>
  </si>
  <si>
    <t>CHP1</t>
    <phoneticPr fontId="17" type="noConversion"/>
  </si>
  <si>
    <t>发1MW电==用100m^3气（无损）</t>
    <phoneticPr fontId="17" type="noConversion"/>
  </si>
  <si>
    <t>Electrolyzer</t>
    <phoneticPr fontId="17" type="noConversion"/>
  </si>
  <si>
    <t>HS</t>
    <phoneticPr fontId="17" type="noConversion"/>
  </si>
  <si>
    <t>FC</t>
    <phoneticPr fontId="10" type="noConversion"/>
  </si>
  <si>
    <t>天然气热值</t>
    <phoneticPr fontId="17" type="noConversion"/>
  </si>
  <si>
    <t>3.6 MJ/m^3</t>
    <phoneticPr fontId="17" type="noConversion"/>
  </si>
  <si>
    <t>50(kg)</t>
    <phoneticPr fontId="17" type="noConversion"/>
  </si>
  <si>
    <t>EP2H</t>
    <phoneticPr fontId="17" type="noConversion"/>
  </si>
  <si>
    <t>kg/MWh</t>
    <phoneticPr fontId="17" type="noConversion"/>
  </si>
  <si>
    <t>G_EL = P_EL*EP2H*eta</t>
    <phoneticPr fontId="17" type="noConversion"/>
  </si>
  <si>
    <t>EH2P</t>
    <phoneticPr fontId="17" type="noConversion"/>
  </si>
  <si>
    <t>MWh/kg</t>
    <phoneticPr fontId="17" type="noConversion"/>
  </si>
  <si>
    <t>d</t>
    <phoneticPr fontId="17" type="noConversion"/>
  </si>
  <si>
    <t>P_FC = G_FC*EH2P*eta</t>
    <phoneticPr fontId="17" type="noConversion"/>
  </si>
  <si>
    <t>H_FC = P_FC / d</t>
    <phoneticPr fontId="17" type="noConversion"/>
  </si>
  <si>
    <t>H_EB = eta*P_EB</t>
    <phoneticPr fontId="17" type="noConversion"/>
  </si>
  <si>
    <t>EG2P</t>
    <phoneticPr fontId="17" type="noConversion"/>
  </si>
  <si>
    <t>P_GT = eta*EG2P*G_GT</t>
    <phoneticPr fontId="17" type="noConversion"/>
  </si>
  <si>
    <t>MW/m^3</t>
    <phoneticPr fontId="17" type="noConversion"/>
  </si>
  <si>
    <t>eta_P</t>
    <phoneticPr fontId="17" type="noConversion"/>
  </si>
  <si>
    <t>eta_H</t>
    <phoneticPr fontId="17" type="noConversion"/>
  </si>
  <si>
    <t>P_D MW</t>
    <phoneticPr fontId="10" type="noConversion"/>
  </si>
  <si>
    <t>Q_D Mvar</t>
    <phoneticPr fontId="10" type="noConversion"/>
  </si>
  <si>
    <t>G m^3</t>
    <phoneticPr fontId="10" type="noConversion"/>
  </si>
  <si>
    <t>H MW</t>
    <phoneticPr fontId="10" type="noConversion"/>
  </si>
  <si>
    <t>耗电</t>
    <phoneticPr fontId="10" type="noConversion"/>
  </si>
  <si>
    <t>产电</t>
    <phoneticPr fontId="10" type="noConversion"/>
  </si>
  <si>
    <t>Wind</t>
    <phoneticPr fontId="10" type="noConversion"/>
  </si>
  <si>
    <t>EL</t>
    <phoneticPr fontId="10" type="noConversion"/>
  </si>
  <si>
    <t>产无功</t>
    <phoneticPr fontId="10" type="noConversion"/>
  </si>
  <si>
    <t>耗无功</t>
    <phoneticPr fontId="10" type="noConversion"/>
  </si>
  <si>
    <t>产气</t>
    <phoneticPr fontId="10" type="noConversion"/>
  </si>
  <si>
    <t>耗气</t>
    <phoneticPr fontId="10" type="noConversion"/>
  </si>
  <si>
    <t>耗热</t>
    <phoneticPr fontId="10" type="noConversion"/>
  </si>
  <si>
    <t>产热</t>
    <phoneticPr fontId="10" type="noConversion"/>
  </si>
  <si>
    <t>耗-产</t>
    <phoneticPr fontId="10" type="noConversion"/>
  </si>
  <si>
    <t>P_CHP = eta_P*G_CHP</t>
    <phoneticPr fontId="17" type="noConversion"/>
  </si>
  <si>
    <t>H_CHP = eta_H*G_CHP</t>
    <phoneticPr fontId="17" type="noConversion"/>
  </si>
  <si>
    <t>1000(kg)</t>
    <phoneticPr fontId="17" type="noConversion"/>
  </si>
  <si>
    <t>G_Buy</t>
    <phoneticPr fontId="10" type="noConversion"/>
  </si>
  <si>
    <t>Hydrogen</t>
    <phoneticPr fontId="10" type="noConversion"/>
  </si>
  <si>
    <t>H</t>
    <phoneticPr fontId="10" type="noConversion"/>
  </si>
  <si>
    <t>R(ohm)</t>
    <phoneticPr fontId="10" type="noConversion"/>
  </si>
  <si>
    <t>X(ohm)</t>
    <phoneticPr fontId="10" type="noConversion"/>
  </si>
  <si>
    <t>Gbuy ￥m^3</t>
    <phoneticPr fontId="17" type="noConversion"/>
  </si>
  <si>
    <t>G2buy ￥kg</t>
    <phoneticPr fontId="17" type="noConversion"/>
  </si>
  <si>
    <t>Pbuy ￥MWh</t>
    <phoneticPr fontId="10" type="noConversion"/>
  </si>
  <si>
    <t>Psell￥MWh</t>
    <phoneticPr fontId="10" type="noConversion"/>
  </si>
  <si>
    <t>100(kg)</t>
    <phoneticPr fontId="17" type="noConversion"/>
  </si>
  <si>
    <t>0(kg)</t>
    <phoneticPr fontId="17" type="noConversion"/>
  </si>
  <si>
    <t>GT</t>
    <phoneticPr fontId="17" type="noConversion"/>
  </si>
  <si>
    <t>气的费用</t>
    <phoneticPr fontId="17" type="noConversion"/>
  </si>
  <si>
    <t>产电的费用</t>
    <phoneticPr fontId="17" type="noConversion"/>
  </si>
  <si>
    <t>总费用</t>
    <phoneticPr fontId="17" type="noConversion"/>
  </si>
  <si>
    <t>CHP</t>
    <phoneticPr fontId="17" type="noConversion"/>
  </si>
  <si>
    <t>FC</t>
    <phoneticPr fontId="17" type="noConversion"/>
  </si>
  <si>
    <t>产生1MWh电需要的气</t>
    <phoneticPr fontId="17" type="noConversion"/>
  </si>
  <si>
    <t>EB</t>
    <phoneticPr fontId="17" type="noConversion"/>
  </si>
  <si>
    <t>产生1MWh热需要的</t>
    <phoneticPr fontId="17" type="noConversion"/>
  </si>
  <si>
    <t>气费用</t>
    <phoneticPr fontId="17" type="noConversion"/>
  </si>
  <si>
    <t>电费用</t>
    <phoneticPr fontId="17" type="noConversion"/>
  </si>
  <si>
    <t>Fuel Cells</t>
    <phoneticPr fontId="17" type="noConversion"/>
  </si>
  <si>
    <t>总负荷</t>
    <phoneticPr fontId="10" type="noConversion"/>
  </si>
  <si>
    <t>总耗电</t>
    <phoneticPr fontId="10" type="noConversion"/>
  </si>
  <si>
    <t>最大出力</t>
    <phoneticPr fontId="10" type="noConversion"/>
  </si>
  <si>
    <t>比值</t>
    <phoneticPr fontId="10" type="noConversion"/>
  </si>
  <si>
    <t>均值</t>
    <phoneticPr fontId="10" type="noConversion"/>
  </si>
  <si>
    <t>VG1</t>
    <phoneticPr fontId="10" type="noConversion"/>
  </si>
  <si>
    <t>VG2</t>
    <phoneticPr fontId="10" type="noConversion"/>
  </si>
  <si>
    <t>VG3</t>
    <phoneticPr fontId="10" type="noConversion"/>
  </si>
  <si>
    <t>VG4</t>
    <phoneticPr fontId="10" type="noConversion"/>
  </si>
  <si>
    <t>CHP4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</si>
</sst>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E+00"/>
    <numFmt numFmtId="177" formatCode="0.0000_);[Red]\(0.0000\)"/>
  </numFmts>
  <fonts count="2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8"/>
      <color rgb="FFFF0000"/>
      <name val="等线"/>
      <family val="3"/>
      <charset val="134"/>
      <scheme val="minor"/>
    </font>
    <font>
      <b/>
      <sz val="18"/>
      <color theme="4"/>
      <name val="等线"/>
      <family val="3"/>
      <charset val="134"/>
      <scheme val="minor"/>
    </font>
    <font>
      <b/>
      <sz val="16"/>
      <color rgb="FF7030A0"/>
      <name val="等线"/>
      <family val="3"/>
      <charset val="134"/>
      <scheme val="minor"/>
    </font>
    <font>
      <b/>
      <sz val="16"/>
      <color rgb="FFC00000"/>
      <name val="等线"/>
      <family val="3"/>
      <charset val="134"/>
      <scheme val="minor"/>
    </font>
    <font>
      <b/>
      <sz val="18"/>
      <color rgb="FFC00000"/>
      <name val="等线"/>
      <family val="3"/>
      <charset val="134"/>
      <scheme val="minor"/>
    </font>
    <font>
      <b/>
      <sz val="20"/>
      <color rgb="FFFF000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5"/>
      <color rgb="FFFFFFFF"/>
      <name val="Arial"/>
      <family val="2"/>
    </font>
    <font>
      <sz val="11"/>
      <color rgb="FFC00000"/>
      <name val="等线"/>
      <family val="2"/>
      <charset val="134"/>
      <scheme val="minor"/>
    </font>
    <font>
      <sz val="11"/>
      <color theme="8"/>
      <name val="等线"/>
      <family val="2"/>
      <charset val="134"/>
      <scheme val="minor"/>
    </font>
    <font>
      <sz val="11"/>
      <color theme="9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  <font>
      <sz val="11"/>
      <color theme="2" tint="-9.9978637043366805E-2"/>
      <name val="等线"/>
      <family val="2"/>
      <charset val="134"/>
      <scheme val="minor"/>
    </font>
    <font>
      <sz val="11"/>
      <color theme="2" tint="-9.9978637043366805E-2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9" fillId="0" borderId="0">
      <alignment vertical="center"/>
    </xf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3" fillId="0" borderId="0" xfId="0" applyFont="1" applyAlignment="1">
      <alignment vertical="center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9" fillId="0" borderId="0" xfId="1">
      <alignment vertical="center"/>
    </xf>
    <xf numFmtId="0" fontId="9" fillId="0" borderId="0" xfId="1" applyAlignment="1">
      <alignment horizontal="center" vertical="center"/>
    </xf>
    <xf numFmtId="0" fontId="9" fillId="0" borderId="1" xfId="1" applyBorder="1" applyAlignment="1">
      <alignment horizontal="center" vertical="center"/>
    </xf>
    <xf numFmtId="176" fontId="0" fillId="0" borderId="0" xfId="0" applyNumberFormat="1"/>
    <xf numFmtId="0" fontId="8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9" fillId="3" borderId="1" xfId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9" fillId="4" borderId="1" xfId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9" fillId="2" borderId="1" xfId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177" fontId="0" fillId="0" borderId="0" xfId="0" applyNumberFormat="1"/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9" fillId="3" borderId="0" xfId="1" applyFill="1" applyAlignment="1">
      <alignment horizontal="center" vertical="center"/>
    </xf>
    <xf numFmtId="0" fontId="9" fillId="4" borderId="0" xfId="1" applyFill="1" applyAlignment="1">
      <alignment horizontal="center" vertical="center"/>
    </xf>
    <xf numFmtId="0" fontId="9" fillId="2" borderId="0" xfId="1" applyFill="1" applyAlignment="1">
      <alignment horizontal="center" vertical="center"/>
    </xf>
    <xf numFmtId="0" fontId="23" fillId="0" borderId="1" xfId="1" applyFont="1" applyBorder="1" applyAlignment="1">
      <alignment horizontal="center" vertical="center"/>
    </xf>
    <xf numFmtId="0" fontId="24" fillId="4" borderId="1" xfId="1" applyFont="1" applyFill="1" applyBorder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9" fillId="0" borderId="0" xfId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 wrapText="1"/>
    </xf>
    <xf numFmtId="0" fontId="9" fillId="0" borderId="1" xfId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9" fillId="0" borderId="3" xfId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24" fillId="0" borderId="3" xfId="1" applyFont="1" applyBorder="1" applyAlignment="1">
      <alignment horizontal="center" vertical="center"/>
    </xf>
  </cellXfs>
  <cellStyles count="2">
    <cellStyle name="常规" xfId="0" builtinId="0"/>
    <cellStyle name="常规 2" xfId="1" xr:uid="{CE3C0D00-E315-4283-99A2-1AB23A163EEC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ico Zhang" id="{DBCDF0AD-752E-4047-AB0E-6C1651F2FBE0}" userId="4f978deee8f2f44b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F4" dT="2025-05-10T14:19:48.15" personId="{DBCDF0AD-752E-4047-AB0E-6C1651F2FBE0}" id="{1CC254AC-2235-4582-87D6-9311FA11AC40}">
    <text>file:///F:/Edge_downloads/1-s2.0-S0360544223029705-main.pdf</text>
    <extLst>
      <x:ext xmlns:xltc2="http://schemas.microsoft.com/office/spreadsheetml/2020/threadedcomments2" uri="{F7C98A9C-CBB3-438F-8F68-D28B6AF4A901}">
        <xltc2:checksum>2990291194</xltc2:checksum>
        <xltc2:hyperlink startIndex="0" length="59" url="file:///F:/Edge_downloads/1-s2.0-S0360544223029705-main.pdf"/>
      </x:ext>
    </extLst>
  </threadedComment>
  <threadedComment ref="AF5" dT="2025-05-10T14:40:13.53" personId="{DBCDF0AD-752E-4047-AB0E-6C1651F2FBE0}" id="{106DEA7B-0E8E-4ACA-BC00-CAC771496A08}">
    <text>file:///F:/Edge_downloads/1-s2.0-S0360544221030449-main.pdf
(1)</text>
    <extLst>
      <x:ext xmlns:xltc2="http://schemas.microsoft.com/office/spreadsheetml/2020/threadedcomments2" uri="{F7C98A9C-CBB3-438F-8F68-D28B6AF4A901}">
        <xltc2:checksum>3252706125</xltc2:checksum>
        <xltc2:hyperlink startIndex="0" length="59" url="file:///F:/Edge_downloads/1-s2.0-S0360544221030449-main.pdf"/>
      </x:ext>
    </extLst>
  </threadedComment>
  <threadedComment ref="AF6" dT="2025-05-10T14:51:40.62" personId="{DBCDF0AD-752E-4047-AB0E-6C1651F2FBE0}" id="{1989A2D0-FB19-4967-A0E0-270734CE88DA}">
    <text>https://ieeexplore.ieee.org/abstract/document/9944193
表1</text>
    <extLst>
      <x:ext xmlns:xltc2="http://schemas.microsoft.com/office/spreadsheetml/2020/threadedcomments2" uri="{F7C98A9C-CBB3-438F-8F68-D28B6AF4A901}">
        <xltc2:checksum>1312613750</xltc2:checksum>
        <xltc2:hyperlink startIndex="0" length="53" url="https://ieeexplore.ieee.org/abstract/document/9944193"/>
      </x:ext>
    </extLst>
  </threadedComment>
  <threadedComment ref="A17" dT="2025-05-11T06:24:46.61" personId="{DBCDF0AD-752E-4047-AB0E-6C1651F2FBE0}" id="{7A6C9848-5377-412D-80C3-1315BB77BA7B}">
    <text xml:space="preserve">https://fgw.gz.gov.cn/ztzl/gzsfzggwzdlyxxgkzl/ys/content/post_9497778.html
</text>
    <extLst>
      <x:ext xmlns:xltc2="http://schemas.microsoft.com/office/spreadsheetml/2020/threadedcomments2" uri="{F7C98A9C-CBB3-438F-8F68-D28B6AF4A901}">
        <xltc2:checksum>229969353</xltc2:checksum>
        <xltc2:hyperlink startIndex="0" length="74" url="https://fgw.gz.gov.cn/ztzl/gzsfzggwzdlyxxgkzl/ys/content/post_9497778.html"/>
      </x:ext>
    </extLst>
  </threadedComment>
  <threadedComment ref="A18" dT="2025-05-11T06:24:23.44" personId="{DBCDF0AD-752E-4047-AB0E-6C1651F2FBE0}" id="{BD0BFB53-0CF8-4041-8F04-754CD0A29C7C}">
    <text>https://drc.gd.gov.cn/snyj/tzgg/content/post_4582745.html?</text>
    <extLst>
      <x:ext xmlns:xltc2="http://schemas.microsoft.com/office/spreadsheetml/2020/threadedcomments2" uri="{F7C98A9C-CBB3-438F-8F68-D28B6AF4A901}">
        <xltc2:checksum>1982038790</xltc2:checksum>
        <xltc2:hyperlink startIndex="0" length="57" url="https://drc.gd.gov.cn/snyj/tzgg/content/post_4582745.html"/>
      </x:ext>
    </extLst>
  </threadedComment>
  <threadedComment ref="A19" dT="2025-05-11T06:12:25.66" personId="{DBCDF0AD-752E-4047-AB0E-6C1651F2FBE0}" id="{B22A25A4-1733-476C-B373-8BC05F6F37F8}">
    <text>https://fgw.gz.gov.cn/gkmlpt/content/10/10066/post_10066667.html#483</text>
    <extLst>
      <x:ext xmlns:xltc2="http://schemas.microsoft.com/office/spreadsheetml/2020/threadedcomments2" uri="{F7C98A9C-CBB3-438F-8F68-D28B6AF4A901}">
        <xltc2:checksum>3147470486</xltc2:checksum>
        <xltc2:hyperlink startIndex="0" length="68" url="https://fgw.gz.gov.cn/gkmlpt/content/10/10066/post_10066667.html#483"/>
      </x:ext>
    </extLst>
  </threadedComment>
  <threadedComment ref="A20" dT="2025-05-11T06:15:01.89" personId="{DBCDF0AD-752E-4047-AB0E-6C1651F2FBE0}" id="{1B21C083-787A-4E57-9C38-93B8F64ACCD2}">
    <text>https://drc.gd.gov.cn/gkmlpt/content/4/4445/post_4445251.html#877</text>
    <extLst>
      <x:ext xmlns:xltc2="http://schemas.microsoft.com/office/spreadsheetml/2020/threadedcomments2" uri="{F7C98A9C-CBB3-438F-8F68-D28B6AF4A901}">
        <xltc2:checksum>996993541</xltc2:checksum>
        <xltc2:hyperlink startIndex="0" length="65" url="https://drc.gd.gov.cn/gkmlpt/content/4/4445/post_4445251.html#877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zoomScale="145" zoomScaleNormal="145" workbookViewId="0">
      <selection activeCell="F13" sqref="F13"/>
    </sheetView>
  </sheetViews>
  <sheetFormatPr defaultRowHeight="14.25" x14ac:dyDescent="0.2"/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5" x14ac:dyDescent="0.2">
      <c r="A2" s="2">
        <v>1</v>
      </c>
      <c r="B2" s="2">
        <v>10.615500000000001</v>
      </c>
      <c r="C2" s="3">
        <v>14.615500000000001</v>
      </c>
      <c r="D2" s="3">
        <v>12.615500000000001</v>
      </c>
      <c r="E2">
        <f>SUM(B2:D2)</f>
        <v>37.846500000000006</v>
      </c>
    </row>
    <row r="3" spans="1:5" x14ac:dyDescent="0.2">
      <c r="A3" s="2">
        <v>2</v>
      </c>
      <c r="B3" s="2">
        <v>10.752000000000001</v>
      </c>
      <c r="C3" s="3">
        <v>14.752000000000002</v>
      </c>
      <c r="D3" s="3">
        <v>12.752000000000001</v>
      </c>
      <c r="E3">
        <f t="shared" ref="E3:E25" si="0">SUM(B3:D3)</f>
        <v>38.256000000000007</v>
      </c>
    </row>
    <row r="4" spans="1:5" x14ac:dyDescent="0.2">
      <c r="A4" s="2">
        <v>3</v>
      </c>
      <c r="B4" s="2">
        <v>10.647</v>
      </c>
      <c r="C4" s="3">
        <v>14.646999999999998</v>
      </c>
      <c r="D4" s="3">
        <v>12.647</v>
      </c>
      <c r="E4">
        <f t="shared" si="0"/>
        <v>37.940999999999995</v>
      </c>
    </row>
    <row r="5" spans="1:5" x14ac:dyDescent="0.2">
      <c r="A5" s="2">
        <v>4</v>
      </c>
      <c r="B5" s="2">
        <v>9.7859999999999996</v>
      </c>
      <c r="C5" s="3">
        <v>13.786000000000001</v>
      </c>
      <c r="D5" s="3">
        <v>11.786</v>
      </c>
      <c r="E5">
        <f t="shared" si="0"/>
        <v>35.358000000000004</v>
      </c>
    </row>
    <row r="6" spans="1:5" x14ac:dyDescent="0.2">
      <c r="A6" s="2">
        <v>5</v>
      </c>
      <c r="B6" s="2">
        <v>10.353</v>
      </c>
      <c r="C6" s="3">
        <v>14.353000000000002</v>
      </c>
      <c r="D6" s="3">
        <v>12.353</v>
      </c>
      <c r="E6">
        <f t="shared" si="0"/>
        <v>37.059000000000005</v>
      </c>
    </row>
    <row r="7" spans="1:5" x14ac:dyDescent="0.2">
      <c r="A7" s="2">
        <v>6</v>
      </c>
      <c r="B7" s="2">
        <v>10.878</v>
      </c>
      <c r="C7" s="3">
        <v>14.878</v>
      </c>
      <c r="D7" s="3">
        <v>12.878</v>
      </c>
      <c r="E7">
        <f t="shared" si="0"/>
        <v>38.634</v>
      </c>
    </row>
    <row r="8" spans="1:5" x14ac:dyDescent="0.2">
      <c r="A8" s="2">
        <v>7</v>
      </c>
      <c r="B8" s="2">
        <v>11.465999999999999</v>
      </c>
      <c r="C8" s="3">
        <v>15.466000000000001</v>
      </c>
      <c r="D8" s="3">
        <v>13.465999999999999</v>
      </c>
      <c r="E8">
        <f t="shared" si="0"/>
        <v>40.398000000000003</v>
      </c>
    </row>
    <row r="9" spans="1:5" x14ac:dyDescent="0.2">
      <c r="A9" s="2">
        <v>8</v>
      </c>
      <c r="B9" s="2">
        <v>10.92</v>
      </c>
      <c r="C9" s="3">
        <v>14.920000000000002</v>
      </c>
      <c r="D9" s="3">
        <v>12.92</v>
      </c>
      <c r="E9">
        <f t="shared" si="0"/>
        <v>38.760000000000005</v>
      </c>
    </row>
    <row r="10" spans="1:5" x14ac:dyDescent="0.2">
      <c r="A10" s="2">
        <v>9</v>
      </c>
      <c r="B10" s="2">
        <v>10.647</v>
      </c>
      <c r="C10" s="3">
        <v>14.646999999999998</v>
      </c>
      <c r="D10" s="3">
        <v>12.647</v>
      </c>
      <c r="E10">
        <f t="shared" si="0"/>
        <v>37.940999999999995</v>
      </c>
    </row>
    <row r="11" spans="1:5" x14ac:dyDescent="0.2">
      <c r="A11" s="2">
        <v>10</v>
      </c>
      <c r="B11" s="2">
        <v>6.468</v>
      </c>
      <c r="C11" s="3">
        <v>10.468</v>
      </c>
      <c r="D11" s="3">
        <v>8.468</v>
      </c>
      <c r="E11">
        <f t="shared" si="0"/>
        <v>25.404</v>
      </c>
    </row>
    <row r="12" spans="1:5" x14ac:dyDescent="0.2">
      <c r="A12" s="2">
        <v>11</v>
      </c>
      <c r="B12" s="2">
        <v>6.8460000000000001</v>
      </c>
      <c r="C12" s="3">
        <v>10.846</v>
      </c>
      <c r="D12" s="3">
        <v>8.8460000000000001</v>
      </c>
      <c r="E12">
        <f t="shared" si="0"/>
        <v>26.538</v>
      </c>
    </row>
    <row r="13" spans="1:5" x14ac:dyDescent="0.2">
      <c r="A13" s="2">
        <v>12</v>
      </c>
      <c r="B13" s="2">
        <v>7.3920000000000003</v>
      </c>
      <c r="C13" s="3">
        <v>11.391999999999999</v>
      </c>
      <c r="D13" s="3">
        <v>9.3919999999999995</v>
      </c>
      <c r="E13">
        <f t="shared" si="0"/>
        <v>28.175999999999998</v>
      </c>
    </row>
    <row r="14" spans="1:5" x14ac:dyDescent="0.2">
      <c r="A14" s="2">
        <v>13</v>
      </c>
      <c r="B14" s="2">
        <v>7.665</v>
      </c>
      <c r="C14" s="3">
        <v>11.664999999999999</v>
      </c>
      <c r="D14" s="3">
        <v>9.6649999999999991</v>
      </c>
      <c r="E14">
        <f t="shared" si="0"/>
        <v>28.994999999999997</v>
      </c>
    </row>
    <row r="15" spans="1:5" x14ac:dyDescent="0.2">
      <c r="A15" s="2">
        <v>14</v>
      </c>
      <c r="B15" s="2">
        <v>6.9824999999999999</v>
      </c>
      <c r="C15" s="3">
        <v>10.982500000000002</v>
      </c>
      <c r="D15" s="3">
        <v>8.9824999999999999</v>
      </c>
      <c r="E15">
        <f t="shared" si="0"/>
        <v>26.947500000000005</v>
      </c>
    </row>
    <row r="16" spans="1:5" x14ac:dyDescent="0.2">
      <c r="A16" s="2">
        <v>15</v>
      </c>
      <c r="B16" s="2">
        <v>7.1189999999999998</v>
      </c>
      <c r="C16" s="3">
        <v>11.119</v>
      </c>
      <c r="D16" s="3">
        <v>9.1189999999999998</v>
      </c>
      <c r="E16">
        <f t="shared" si="0"/>
        <v>27.356999999999999</v>
      </c>
    </row>
    <row r="17" spans="1:5" x14ac:dyDescent="0.2">
      <c r="A17" s="2">
        <v>16</v>
      </c>
      <c r="B17" s="2">
        <v>7.6440000000000001</v>
      </c>
      <c r="C17" s="3">
        <v>11.643999999999998</v>
      </c>
      <c r="D17" s="3">
        <v>9.6440000000000001</v>
      </c>
      <c r="E17">
        <f t="shared" si="0"/>
        <v>28.931999999999995</v>
      </c>
    </row>
    <row r="18" spans="1:5" x14ac:dyDescent="0.2">
      <c r="A18" s="2">
        <v>17</v>
      </c>
      <c r="B18" s="2">
        <v>11.193</v>
      </c>
      <c r="C18" s="3">
        <v>15.192999999999998</v>
      </c>
      <c r="D18" s="3">
        <v>13.193</v>
      </c>
      <c r="E18">
        <f t="shared" si="0"/>
        <v>39.578999999999994</v>
      </c>
    </row>
    <row r="19" spans="1:5" x14ac:dyDescent="0.2">
      <c r="A19" s="2">
        <v>18</v>
      </c>
      <c r="B19" s="2">
        <v>10.3215</v>
      </c>
      <c r="C19" s="3">
        <v>14.3215</v>
      </c>
      <c r="D19" s="3">
        <v>12.3215</v>
      </c>
      <c r="E19">
        <f t="shared" si="0"/>
        <v>36.964500000000001</v>
      </c>
    </row>
    <row r="20" spans="1:5" x14ac:dyDescent="0.2">
      <c r="A20" s="2">
        <v>19</v>
      </c>
      <c r="B20" s="2">
        <v>10.941000000000001</v>
      </c>
      <c r="C20" s="3">
        <v>14.941000000000003</v>
      </c>
      <c r="D20" s="3">
        <v>12.941000000000001</v>
      </c>
      <c r="E20">
        <f t="shared" si="0"/>
        <v>38.823000000000008</v>
      </c>
    </row>
    <row r="21" spans="1:5" x14ac:dyDescent="0.2">
      <c r="A21" s="2">
        <v>20</v>
      </c>
      <c r="B21" s="2">
        <v>9.5823</v>
      </c>
      <c r="C21" s="3">
        <v>13.5823</v>
      </c>
      <c r="D21" s="3">
        <v>11.5823</v>
      </c>
      <c r="E21">
        <f t="shared" si="0"/>
        <v>34.746899999999997</v>
      </c>
    </row>
    <row r="22" spans="1:5" x14ac:dyDescent="0.2">
      <c r="A22" s="2">
        <v>21</v>
      </c>
      <c r="B22" s="2">
        <v>10.374000000000001</v>
      </c>
      <c r="C22" s="3">
        <v>14.374000000000002</v>
      </c>
      <c r="D22" s="3">
        <v>12.374000000000001</v>
      </c>
      <c r="E22">
        <f t="shared" si="0"/>
        <v>37.122000000000007</v>
      </c>
    </row>
    <row r="23" spans="1:5" x14ac:dyDescent="0.2">
      <c r="A23" s="2">
        <v>22</v>
      </c>
      <c r="B23" s="2">
        <v>11.193</v>
      </c>
      <c r="C23" s="3">
        <v>15.192999999999998</v>
      </c>
      <c r="D23" s="3">
        <v>13.193</v>
      </c>
      <c r="E23">
        <f t="shared" si="0"/>
        <v>39.578999999999994</v>
      </c>
    </row>
    <row r="24" spans="1:5" x14ac:dyDescent="0.2">
      <c r="A24" s="2">
        <v>23</v>
      </c>
      <c r="B24" s="2">
        <v>11.465999999999999</v>
      </c>
      <c r="C24" s="3">
        <v>15.466000000000001</v>
      </c>
      <c r="D24" s="3">
        <v>13.465999999999999</v>
      </c>
      <c r="E24">
        <f t="shared" si="0"/>
        <v>40.398000000000003</v>
      </c>
    </row>
    <row r="25" spans="1:5" x14ac:dyDescent="0.2">
      <c r="A25" s="2">
        <v>24</v>
      </c>
      <c r="B25" s="2">
        <v>11.791499999999999</v>
      </c>
      <c r="C25" s="3">
        <v>15.791499999999999</v>
      </c>
      <c r="D25" s="3">
        <v>13.791499999999999</v>
      </c>
      <c r="E25">
        <f t="shared" si="0"/>
        <v>41.374499999999998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F6438-1C4E-47BE-8B40-BF1C1D52E1B5}">
  <dimension ref="A1:D34"/>
  <sheetViews>
    <sheetView topLeftCell="A13" zoomScale="130" zoomScaleNormal="130" workbookViewId="0">
      <selection activeCell="C33" sqref="C33"/>
    </sheetView>
  </sheetViews>
  <sheetFormatPr defaultRowHeight="14.25" x14ac:dyDescent="0.2"/>
  <sheetData>
    <row r="1" spans="1:4" x14ac:dyDescent="0.2">
      <c r="A1" s="2" t="s">
        <v>4</v>
      </c>
      <c r="B1" s="2" t="s">
        <v>5</v>
      </c>
      <c r="C1" s="2" t="s">
        <v>6</v>
      </c>
      <c r="D1" s="2" t="s">
        <v>7</v>
      </c>
    </row>
    <row r="2" spans="1:4" x14ac:dyDescent="0.2">
      <c r="A2" s="2">
        <v>1</v>
      </c>
      <c r="B2" s="2">
        <v>0</v>
      </c>
      <c r="C2" s="2">
        <v>0</v>
      </c>
      <c r="D2" s="2">
        <v>0</v>
      </c>
    </row>
    <row r="3" spans="1:4" x14ac:dyDescent="0.2">
      <c r="A3" s="2">
        <v>2</v>
      </c>
      <c r="B3" s="2">
        <v>0</v>
      </c>
      <c r="C3" s="2">
        <v>0</v>
      </c>
      <c r="D3" s="2">
        <v>0</v>
      </c>
    </row>
    <row r="4" spans="1:4" x14ac:dyDescent="0.2">
      <c r="A4" s="2">
        <v>3</v>
      </c>
      <c r="B4" s="2">
        <v>0</v>
      </c>
      <c r="C4" s="2">
        <v>0</v>
      </c>
      <c r="D4" s="2">
        <v>0</v>
      </c>
    </row>
    <row r="5" spans="1:4" x14ac:dyDescent="0.2">
      <c r="A5" s="2">
        <v>4</v>
      </c>
      <c r="B5" s="2">
        <v>0</v>
      </c>
      <c r="C5" s="2">
        <v>0</v>
      </c>
      <c r="D5" s="2">
        <v>0</v>
      </c>
    </row>
    <row r="6" spans="1:4" x14ac:dyDescent="0.2">
      <c r="A6" s="2">
        <v>5</v>
      </c>
      <c r="B6" s="2">
        <v>0</v>
      </c>
      <c r="C6" s="2">
        <v>0</v>
      </c>
      <c r="D6" s="2">
        <v>0</v>
      </c>
    </row>
    <row r="7" spans="1:4" x14ac:dyDescent="0.2">
      <c r="A7" s="2">
        <v>6</v>
      </c>
      <c r="B7" s="2">
        <v>0</v>
      </c>
      <c r="C7" s="2">
        <v>0</v>
      </c>
      <c r="D7" s="2">
        <v>0</v>
      </c>
    </row>
    <row r="8" spans="1:4" x14ac:dyDescent="0.2">
      <c r="A8" s="2">
        <v>7</v>
      </c>
      <c r="B8" s="2">
        <v>0</v>
      </c>
      <c r="C8" s="2">
        <v>0</v>
      </c>
      <c r="D8" s="2">
        <v>0</v>
      </c>
    </row>
    <row r="9" spans="1:4" x14ac:dyDescent="0.2">
      <c r="A9" s="2">
        <v>8</v>
      </c>
      <c r="B9" s="2">
        <v>0</v>
      </c>
      <c r="C9" s="2">
        <v>0</v>
      </c>
      <c r="D9" s="2">
        <v>0</v>
      </c>
    </row>
    <row r="10" spans="1:4" x14ac:dyDescent="0.2">
      <c r="A10" s="2">
        <v>9</v>
      </c>
      <c r="B10" s="2">
        <v>0</v>
      </c>
      <c r="C10" s="2">
        <v>0</v>
      </c>
      <c r="D10" s="2">
        <v>0</v>
      </c>
    </row>
    <row r="11" spans="1:4" x14ac:dyDescent="0.2">
      <c r="A11" s="2">
        <v>10</v>
      </c>
      <c r="B11" s="2">
        <v>0</v>
      </c>
      <c r="C11" s="2">
        <v>0</v>
      </c>
      <c r="D11" s="2">
        <v>0</v>
      </c>
    </row>
    <row r="12" spans="1:4" x14ac:dyDescent="0.2">
      <c r="A12" s="2">
        <v>11</v>
      </c>
      <c r="B12" s="2">
        <v>0</v>
      </c>
      <c r="C12" s="2">
        <v>0</v>
      </c>
      <c r="D12" s="2">
        <v>0</v>
      </c>
    </row>
    <row r="13" spans="1:4" x14ac:dyDescent="0.2">
      <c r="A13" s="2">
        <v>12</v>
      </c>
      <c r="B13" s="2">
        <v>0</v>
      </c>
      <c r="C13" s="2">
        <v>0</v>
      </c>
      <c r="D13" s="2">
        <v>1</v>
      </c>
    </row>
    <row r="14" spans="1:4" x14ac:dyDescent="0.2">
      <c r="A14" s="2">
        <v>13</v>
      </c>
      <c r="B14" s="2">
        <v>0</v>
      </c>
      <c r="C14" s="2">
        <v>0</v>
      </c>
      <c r="D14" s="2">
        <v>0</v>
      </c>
    </row>
    <row r="15" spans="1:4" x14ac:dyDescent="0.2">
      <c r="A15" s="2">
        <v>14</v>
      </c>
      <c r="B15" s="2">
        <v>0</v>
      </c>
      <c r="C15" s="2">
        <v>0</v>
      </c>
      <c r="D15" s="2">
        <v>0</v>
      </c>
    </row>
    <row r="16" spans="1:4" x14ac:dyDescent="0.2">
      <c r="A16" s="2">
        <v>15</v>
      </c>
      <c r="B16" s="2">
        <v>0</v>
      </c>
      <c r="C16" s="2">
        <v>0</v>
      </c>
      <c r="D16" s="2">
        <v>0</v>
      </c>
    </row>
    <row r="17" spans="1:4" x14ac:dyDescent="0.2">
      <c r="A17" s="2">
        <v>16</v>
      </c>
      <c r="B17" s="2">
        <v>0</v>
      </c>
      <c r="C17" s="2">
        <v>0</v>
      </c>
      <c r="D17" s="2">
        <v>0</v>
      </c>
    </row>
    <row r="18" spans="1:4" x14ac:dyDescent="0.2">
      <c r="A18" s="2">
        <v>17</v>
      </c>
      <c r="B18" s="2">
        <v>0</v>
      </c>
      <c r="C18" s="2">
        <v>0</v>
      </c>
      <c r="D18" s="2">
        <v>0</v>
      </c>
    </row>
    <row r="19" spans="1:4" x14ac:dyDescent="0.2">
      <c r="A19" s="2">
        <v>18</v>
      </c>
      <c r="B19" s="2">
        <v>0</v>
      </c>
      <c r="C19" s="2">
        <v>0</v>
      </c>
      <c r="D19" s="2">
        <v>0</v>
      </c>
    </row>
    <row r="20" spans="1:4" x14ac:dyDescent="0.2">
      <c r="A20" s="2">
        <v>19</v>
      </c>
      <c r="B20" s="2">
        <v>0</v>
      </c>
      <c r="C20" s="2">
        <v>0</v>
      </c>
      <c r="D20" s="2">
        <v>0</v>
      </c>
    </row>
    <row r="21" spans="1:4" x14ac:dyDescent="0.2">
      <c r="A21" s="2">
        <v>20</v>
      </c>
      <c r="B21" s="2">
        <v>0</v>
      </c>
      <c r="C21" s="2">
        <v>0</v>
      </c>
      <c r="D21" s="2">
        <v>0</v>
      </c>
    </row>
    <row r="22" spans="1:4" x14ac:dyDescent="0.2">
      <c r="A22" s="2">
        <v>21</v>
      </c>
      <c r="B22" s="2">
        <v>1</v>
      </c>
      <c r="C22" s="2">
        <v>0</v>
      </c>
      <c r="D22" s="2">
        <v>0</v>
      </c>
    </row>
    <row r="23" spans="1:4" x14ac:dyDescent="0.2">
      <c r="A23" s="2">
        <v>22</v>
      </c>
      <c r="B23" s="2">
        <v>0</v>
      </c>
      <c r="C23" s="2">
        <v>0</v>
      </c>
      <c r="D23" s="2">
        <v>0</v>
      </c>
    </row>
    <row r="24" spans="1:4" x14ac:dyDescent="0.2">
      <c r="A24" s="2">
        <v>23</v>
      </c>
      <c r="B24" s="2">
        <v>0</v>
      </c>
      <c r="C24" s="2">
        <v>0</v>
      </c>
      <c r="D24" s="2">
        <v>0</v>
      </c>
    </row>
    <row r="25" spans="1:4" x14ac:dyDescent="0.2">
      <c r="A25" s="2">
        <v>24</v>
      </c>
      <c r="B25" s="2">
        <v>0</v>
      </c>
      <c r="C25" s="2">
        <v>0</v>
      </c>
      <c r="D25" s="2">
        <v>0</v>
      </c>
    </row>
    <row r="26" spans="1:4" x14ac:dyDescent="0.2">
      <c r="A26" s="2">
        <v>25</v>
      </c>
      <c r="B26" s="2">
        <v>0</v>
      </c>
      <c r="C26" s="2">
        <v>0</v>
      </c>
      <c r="D26" s="2">
        <v>0</v>
      </c>
    </row>
    <row r="27" spans="1:4" x14ac:dyDescent="0.2">
      <c r="A27" s="2">
        <v>26</v>
      </c>
      <c r="B27" s="2">
        <v>0</v>
      </c>
      <c r="C27" s="2">
        <v>0</v>
      </c>
      <c r="D27" s="2">
        <v>0</v>
      </c>
    </row>
    <row r="28" spans="1:4" x14ac:dyDescent="0.2">
      <c r="A28" s="2">
        <v>27</v>
      </c>
      <c r="B28" s="2">
        <v>0</v>
      </c>
      <c r="C28" s="2">
        <v>0</v>
      </c>
      <c r="D28" s="2">
        <v>0</v>
      </c>
    </row>
    <row r="29" spans="1:4" x14ac:dyDescent="0.2">
      <c r="A29" s="2">
        <v>28</v>
      </c>
      <c r="B29" s="2">
        <v>0</v>
      </c>
      <c r="C29" s="2">
        <v>0</v>
      </c>
      <c r="D29" s="2">
        <v>0</v>
      </c>
    </row>
    <row r="30" spans="1:4" x14ac:dyDescent="0.2">
      <c r="A30" s="2">
        <v>29</v>
      </c>
      <c r="B30" s="2">
        <v>0</v>
      </c>
      <c r="C30" s="2">
        <v>0</v>
      </c>
      <c r="D30" s="2">
        <v>0</v>
      </c>
    </row>
    <row r="31" spans="1:4" x14ac:dyDescent="0.2">
      <c r="A31" s="2">
        <v>30</v>
      </c>
      <c r="B31" s="2">
        <v>0</v>
      </c>
      <c r="C31" s="2">
        <v>0</v>
      </c>
      <c r="D31" s="2">
        <v>0</v>
      </c>
    </row>
    <row r="32" spans="1:4" x14ac:dyDescent="0.2">
      <c r="A32" s="2">
        <v>31</v>
      </c>
      <c r="B32" s="2">
        <v>0</v>
      </c>
      <c r="C32" s="2">
        <v>0</v>
      </c>
      <c r="D32" s="2">
        <v>0</v>
      </c>
    </row>
    <row r="33" spans="1:4" x14ac:dyDescent="0.2">
      <c r="A33" s="2">
        <v>32</v>
      </c>
      <c r="B33" s="2">
        <v>0</v>
      </c>
      <c r="C33" s="2">
        <v>1</v>
      </c>
      <c r="D33" s="2">
        <v>0</v>
      </c>
    </row>
    <row r="34" spans="1:4" x14ac:dyDescent="0.2">
      <c r="A34" s="2">
        <v>33</v>
      </c>
      <c r="B34" s="2">
        <v>0</v>
      </c>
      <c r="C34" s="2">
        <v>0</v>
      </c>
      <c r="D34" s="2">
        <v>0</v>
      </c>
    </row>
  </sheetData>
  <phoneticPr fontId="10" type="noConversion"/>
  <conditionalFormatting sqref="B2:D34">
    <cfRule type="cellIs" dxfId="5" priority="1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066CA-B73E-4302-B0FB-F8FD09FA41B6}">
  <dimension ref="A1:M33"/>
  <sheetViews>
    <sheetView zoomScale="130" zoomScaleNormal="130" workbookViewId="0">
      <selection activeCell="G5" sqref="G5"/>
    </sheetView>
  </sheetViews>
  <sheetFormatPr defaultRowHeight="14.25" x14ac:dyDescent="0.2"/>
  <cols>
    <col min="1" max="1" width="11.625" bestFit="1" customWidth="1"/>
    <col min="2" max="2" width="10" customWidth="1"/>
    <col min="3" max="3" width="12.125" customWidth="1"/>
    <col min="4" max="4" width="17.25" customWidth="1"/>
    <col min="5" max="5" width="18.375" customWidth="1"/>
    <col min="6" max="6" width="8" customWidth="1"/>
    <col min="7" max="7" width="9.875" bestFit="1" customWidth="1"/>
    <col min="9" max="9" width="11.125" style="9" customWidth="1"/>
    <col min="10" max="10" width="12.375" style="9" customWidth="1"/>
    <col min="12" max="12" width="11.125" bestFit="1" customWidth="1"/>
    <col min="13" max="13" width="12.125" customWidth="1"/>
  </cols>
  <sheetData>
    <row r="1" spans="1:13" ht="14.25" customHeight="1" x14ac:dyDescent="0.2">
      <c r="A1" s="5" t="s">
        <v>8</v>
      </c>
      <c r="B1" s="2" t="s">
        <v>9</v>
      </c>
      <c r="C1" s="2" t="s">
        <v>10</v>
      </c>
      <c r="D1" s="2" t="s">
        <v>201</v>
      </c>
      <c r="E1" s="2" t="s">
        <v>202</v>
      </c>
    </row>
    <row r="2" spans="1:13" ht="14.25" customHeight="1" x14ac:dyDescent="0.2">
      <c r="A2" s="2">
        <v>1</v>
      </c>
      <c r="B2" s="2">
        <v>1</v>
      </c>
      <c r="C2" s="2">
        <v>2</v>
      </c>
      <c r="D2" s="6">
        <v>9.2200000000000004E-2</v>
      </c>
      <c r="E2" s="6">
        <v>4.7000000000000007E-2</v>
      </c>
      <c r="G2" s="24"/>
      <c r="H2" s="24"/>
      <c r="L2" s="12"/>
      <c r="M2" s="12"/>
    </row>
    <row r="3" spans="1:13" ht="14.25" customHeight="1" x14ac:dyDescent="0.2">
      <c r="A3" s="2">
        <v>2</v>
      </c>
      <c r="B3" s="2">
        <v>2</v>
      </c>
      <c r="C3" s="2">
        <v>3</v>
      </c>
      <c r="D3" s="6">
        <v>0.49300000000000005</v>
      </c>
      <c r="E3" s="6">
        <v>0.25109999999999999</v>
      </c>
      <c r="G3" s="24"/>
      <c r="H3" s="24"/>
      <c r="L3" s="12"/>
      <c r="M3" s="12"/>
    </row>
    <row r="4" spans="1:13" ht="14.25" customHeight="1" x14ac:dyDescent="0.2">
      <c r="A4" s="2">
        <v>3</v>
      </c>
      <c r="B4" s="2">
        <v>3</v>
      </c>
      <c r="C4" s="2">
        <v>4</v>
      </c>
      <c r="D4" s="6">
        <v>0.36599999999999999</v>
      </c>
      <c r="E4" s="6">
        <v>0.18640000000000001</v>
      </c>
      <c r="G4" s="24"/>
      <c r="H4" s="24"/>
      <c r="L4" s="12"/>
      <c r="M4" s="12"/>
    </row>
    <row r="5" spans="1:13" ht="14.25" customHeight="1" x14ac:dyDescent="0.2">
      <c r="A5" s="2">
        <v>4</v>
      </c>
      <c r="B5" s="2">
        <v>4</v>
      </c>
      <c r="C5" s="2">
        <v>5</v>
      </c>
      <c r="D5" s="6">
        <v>0.38109999999999999</v>
      </c>
      <c r="E5" s="6">
        <v>0.19409999999999999</v>
      </c>
      <c r="G5" s="24"/>
      <c r="H5" s="24"/>
      <c r="L5" s="12"/>
      <c r="M5" s="12"/>
    </row>
    <row r="6" spans="1:13" ht="14.25" customHeight="1" x14ac:dyDescent="0.2">
      <c r="A6" s="2">
        <v>5</v>
      </c>
      <c r="B6" s="2">
        <v>5</v>
      </c>
      <c r="C6" s="2">
        <v>6</v>
      </c>
      <c r="D6" s="6">
        <v>0.81899999999999995</v>
      </c>
      <c r="E6" s="6">
        <v>0.70699999999999996</v>
      </c>
      <c r="G6" s="24"/>
      <c r="H6" s="24"/>
      <c r="L6" s="12"/>
      <c r="M6" s="12"/>
    </row>
    <row r="7" spans="1:13" ht="14.25" customHeight="1" x14ac:dyDescent="0.2">
      <c r="A7" s="2">
        <v>6</v>
      </c>
      <c r="B7" s="2">
        <v>6</v>
      </c>
      <c r="C7" s="2">
        <v>7</v>
      </c>
      <c r="D7" s="6">
        <v>0.18720000000000001</v>
      </c>
      <c r="E7" s="6">
        <v>0.61880000000000013</v>
      </c>
      <c r="G7" s="24"/>
      <c r="H7" s="24"/>
      <c r="L7" s="12"/>
      <c r="M7" s="12"/>
    </row>
    <row r="8" spans="1:13" ht="14.25" customHeight="1" x14ac:dyDescent="0.2">
      <c r="A8" s="2">
        <v>7</v>
      </c>
      <c r="B8" s="2">
        <v>7</v>
      </c>
      <c r="C8" s="2">
        <v>8</v>
      </c>
      <c r="D8" s="6">
        <v>1.7114</v>
      </c>
      <c r="E8" s="6">
        <v>1.2351000000000001</v>
      </c>
      <c r="G8" s="24"/>
      <c r="H8" s="24"/>
      <c r="L8" s="12"/>
      <c r="M8" s="12"/>
    </row>
    <row r="9" spans="1:13" ht="14.25" customHeight="1" x14ac:dyDescent="0.2">
      <c r="A9" s="2">
        <v>8</v>
      </c>
      <c r="B9" s="2">
        <v>8</v>
      </c>
      <c r="C9" s="2">
        <v>9</v>
      </c>
      <c r="D9" s="6">
        <v>1.03</v>
      </c>
      <c r="E9" s="6">
        <v>0.74</v>
      </c>
      <c r="G9" s="24"/>
      <c r="H9" s="24"/>
      <c r="L9" s="12"/>
      <c r="M9" s="12"/>
    </row>
    <row r="10" spans="1:13" ht="14.25" customHeight="1" x14ac:dyDescent="0.2">
      <c r="A10" s="2">
        <v>9</v>
      </c>
      <c r="B10" s="2">
        <v>9</v>
      </c>
      <c r="C10" s="2">
        <v>10</v>
      </c>
      <c r="D10" s="6">
        <v>1.044</v>
      </c>
      <c r="E10" s="6">
        <v>0.74</v>
      </c>
      <c r="G10" s="24"/>
      <c r="H10" s="24"/>
      <c r="L10" s="12"/>
      <c r="M10" s="12"/>
    </row>
    <row r="11" spans="1:13" ht="14.25" customHeight="1" x14ac:dyDescent="0.2">
      <c r="A11" s="2">
        <v>10</v>
      </c>
      <c r="B11" s="2">
        <v>10</v>
      </c>
      <c r="C11" s="2">
        <v>11</v>
      </c>
      <c r="D11" s="6">
        <v>0.1966</v>
      </c>
      <c r="E11" s="6">
        <v>6.5000000000000002E-2</v>
      </c>
      <c r="G11" s="24"/>
      <c r="H11" s="24"/>
      <c r="L11" s="12"/>
      <c r="M11" s="12"/>
    </row>
    <row r="12" spans="1:13" ht="14.25" customHeight="1" x14ac:dyDescent="0.2">
      <c r="A12" s="2">
        <v>11</v>
      </c>
      <c r="B12" s="2">
        <v>11</v>
      </c>
      <c r="C12" s="2">
        <v>12</v>
      </c>
      <c r="D12" s="6">
        <v>0.37440000000000001</v>
      </c>
      <c r="E12" s="6">
        <v>0.12380000000000001</v>
      </c>
      <c r="G12" s="24"/>
      <c r="H12" s="24"/>
      <c r="L12" s="12"/>
      <c r="M12" s="12"/>
    </row>
    <row r="13" spans="1:13" ht="14.25" customHeight="1" x14ac:dyDescent="0.2">
      <c r="A13" s="2">
        <v>12</v>
      </c>
      <c r="B13" s="2">
        <v>12</v>
      </c>
      <c r="C13" s="2">
        <v>13</v>
      </c>
      <c r="D13" s="6">
        <v>1.468</v>
      </c>
      <c r="E13" s="6">
        <v>1.155</v>
      </c>
      <c r="G13" s="24"/>
      <c r="H13" s="24"/>
      <c r="L13" s="12"/>
      <c r="M13" s="12"/>
    </row>
    <row r="14" spans="1:13" ht="14.25" customHeight="1" x14ac:dyDescent="0.2">
      <c r="A14" s="2">
        <v>13</v>
      </c>
      <c r="B14" s="2">
        <v>13</v>
      </c>
      <c r="C14" s="2">
        <v>14</v>
      </c>
      <c r="D14" s="6">
        <v>0.54159999999999997</v>
      </c>
      <c r="E14" s="6">
        <v>0.71290000000000009</v>
      </c>
      <c r="G14" s="24"/>
      <c r="H14" s="24"/>
      <c r="L14" s="12"/>
      <c r="M14" s="12"/>
    </row>
    <row r="15" spans="1:13" ht="14.25" customHeight="1" x14ac:dyDescent="0.2">
      <c r="A15" s="2">
        <v>14</v>
      </c>
      <c r="B15" s="2">
        <v>14</v>
      </c>
      <c r="C15" s="2">
        <v>15</v>
      </c>
      <c r="D15" s="6">
        <v>0.59099999999999997</v>
      </c>
      <c r="E15" s="6">
        <v>0.52600000000000002</v>
      </c>
      <c r="G15" s="24"/>
      <c r="H15" s="24"/>
      <c r="L15" s="12"/>
      <c r="M15" s="12"/>
    </row>
    <row r="16" spans="1:13" ht="14.25" customHeight="1" x14ac:dyDescent="0.2">
      <c r="A16" s="2">
        <v>15</v>
      </c>
      <c r="B16" s="2">
        <v>15</v>
      </c>
      <c r="C16" s="2">
        <v>16</v>
      </c>
      <c r="D16" s="6">
        <v>0.74629999999999996</v>
      </c>
      <c r="E16" s="6">
        <v>0.54500000000000004</v>
      </c>
      <c r="G16" s="24"/>
      <c r="H16" s="24"/>
      <c r="L16" s="12"/>
      <c r="M16" s="12"/>
    </row>
    <row r="17" spans="1:13" ht="14.25" customHeight="1" x14ac:dyDescent="0.2">
      <c r="A17" s="2">
        <v>16</v>
      </c>
      <c r="B17" s="2">
        <v>16</v>
      </c>
      <c r="C17" s="2">
        <v>17</v>
      </c>
      <c r="D17" s="6">
        <v>1.2889999999999999</v>
      </c>
      <c r="E17" s="6">
        <v>1.7210000000000001</v>
      </c>
      <c r="G17" s="24"/>
      <c r="H17" s="24"/>
      <c r="L17" s="12"/>
      <c r="M17" s="12"/>
    </row>
    <row r="18" spans="1:13" ht="14.25" customHeight="1" x14ac:dyDescent="0.2">
      <c r="A18" s="2">
        <v>17</v>
      </c>
      <c r="B18" s="2">
        <v>17</v>
      </c>
      <c r="C18" s="2">
        <v>18</v>
      </c>
      <c r="D18" s="6">
        <v>0.73199999999999998</v>
      </c>
      <c r="E18" s="6">
        <v>0.57399999999999995</v>
      </c>
      <c r="G18" s="24"/>
      <c r="H18" s="24"/>
      <c r="L18" s="12"/>
      <c r="M18" s="12"/>
    </row>
    <row r="19" spans="1:13" ht="14.25" customHeight="1" x14ac:dyDescent="0.2">
      <c r="A19" s="2">
        <v>18</v>
      </c>
      <c r="B19" s="2">
        <v>2</v>
      </c>
      <c r="C19" s="2">
        <v>19</v>
      </c>
      <c r="D19" s="6">
        <v>0.16400000000000001</v>
      </c>
      <c r="E19" s="6">
        <v>0.1565</v>
      </c>
      <c r="G19" s="24"/>
      <c r="H19" s="24"/>
      <c r="L19" s="12"/>
      <c r="M19" s="12"/>
    </row>
    <row r="20" spans="1:13" ht="14.25" customHeight="1" x14ac:dyDescent="0.2">
      <c r="A20" s="2">
        <v>19</v>
      </c>
      <c r="B20" s="2">
        <v>19</v>
      </c>
      <c r="C20" s="2">
        <v>20</v>
      </c>
      <c r="D20" s="6">
        <v>1.5042</v>
      </c>
      <c r="E20" s="6">
        <v>1.3553999999999999</v>
      </c>
      <c r="G20" s="24"/>
      <c r="H20" s="24"/>
      <c r="L20" s="12"/>
      <c r="M20" s="12"/>
    </row>
    <row r="21" spans="1:13" ht="14.25" customHeight="1" x14ac:dyDescent="0.2">
      <c r="A21" s="2">
        <v>20</v>
      </c>
      <c r="B21" s="2">
        <v>20</v>
      </c>
      <c r="C21" s="2">
        <v>21</v>
      </c>
      <c r="D21" s="6">
        <v>0.40949999999999998</v>
      </c>
      <c r="E21" s="6">
        <v>0.47840000000000005</v>
      </c>
      <c r="G21" s="24"/>
      <c r="H21" s="24"/>
      <c r="L21" s="12"/>
      <c r="M21" s="12"/>
    </row>
    <row r="22" spans="1:13" ht="14.25" customHeight="1" x14ac:dyDescent="0.2">
      <c r="A22" s="2">
        <v>21</v>
      </c>
      <c r="B22" s="2">
        <v>21</v>
      </c>
      <c r="C22" s="2">
        <v>22</v>
      </c>
      <c r="D22" s="6">
        <v>0.70889999999999997</v>
      </c>
      <c r="E22" s="6">
        <v>0.93730000000000002</v>
      </c>
      <c r="G22" s="24"/>
      <c r="H22" s="24"/>
      <c r="L22" s="12"/>
      <c r="M22" s="12"/>
    </row>
    <row r="23" spans="1:13" ht="14.25" customHeight="1" x14ac:dyDescent="0.2">
      <c r="A23" s="2">
        <v>22</v>
      </c>
      <c r="B23" s="2">
        <v>3</v>
      </c>
      <c r="C23" s="2">
        <v>23</v>
      </c>
      <c r="D23" s="6">
        <v>0.45119999999999999</v>
      </c>
      <c r="E23" s="6">
        <v>0.30830000000000002</v>
      </c>
      <c r="G23" s="24"/>
      <c r="H23" s="24"/>
      <c r="L23" s="12"/>
      <c r="M23" s="12"/>
    </row>
    <row r="24" spans="1:13" ht="14.25" customHeight="1" x14ac:dyDescent="0.2">
      <c r="A24" s="2">
        <v>23</v>
      </c>
      <c r="B24" s="2">
        <v>23</v>
      </c>
      <c r="C24" s="2">
        <v>24</v>
      </c>
      <c r="D24" s="6">
        <v>0.89800000000000002</v>
      </c>
      <c r="E24" s="6">
        <v>0.70909999999999995</v>
      </c>
      <c r="G24" s="24"/>
      <c r="H24" s="24"/>
      <c r="L24" s="12"/>
      <c r="M24" s="12"/>
    </row>
    <row r="25" spans="1:13" ht="14.25" customHeight="1" x14ac:dyDescent="0.2">
      <c r="A25" s="2">
        <v>24</v>
      </c>
      <c r="B25" s="2">
        <v>24</v>
      </c>
      <c r="C25" s="2">
        <v>25</v>
      </c>
      <c r="D25" s="6">
        <v>0.89600000000000002</v>
      </c>
      <c r="E25" s="6">
        <v>0.70109999999999995</v>
      </c>
      <c r="G25" s="24"/>
      <c r="H25" s="24"/>
      <c r="L25" s="12"/>
      <c r="M25" s="12"/>
    </row>
    <row r="26" spans="1:13" ht="14.25" customHeight="1" x14ac:dyDescent="0.2">
      <c r="A26" s="2">
        <v>25</v>
      </c>
      <c r="B26" s="2">
        <v>6</v>
      </c>
      <c r="C26" s="2">
        <v>26</v>
      </c>
      <c r="D26" s="6">
        <v>0.20300000000000004</v>
      </c>
      <c r="E26" s="6">
        <v>0.10340000000000001</v>
      </c>
      <c r="G26" s="24"/>
      <c r="H26" s="24"/>
      <c r="L26" s="12"/>
      <c r="M26" s="12"/>
    </row>
    <row r="27" spans="1:13" ht="14.25" customHeight="1" x14ac:dyDescent="0.2">
      <c r="A27" s="2">
        <v>26</v>
      </c>
      <c r="B27" s="2">
        <v>26</v>
      </c>
      <c r="C27" s="2">
        <v>27</v>
      </c>
      <c r="D27" s="6">
        <v>0.28420000000000001</v>
      </c>
      <c r="E27" s="6">
        <v>0.1447</v>
      </c>
      <c r="G27" s="24"/>
      <c r="H27" s="24"/>
      <c r="L27" s="12"/>
      <c r="M27" s="12"/>
    </row>
    <row r="28" spans="1:13" ht="14.25" customHeight="1" x14ac:dyDescent="0.2">
      <c r="A28" s="2">
        <v>27</v>
      </c>
      <c r="B28" s="2">
        <v>27</v>
      </c>
      <c r="C28" s="2">
        <v>28</v>
      </c>
      <c r="D28" s="6">
        <v>1.0589999999999999</v>
      </c>
      <c r="E28" s="6">
        <v>0.93369999999999997</v>
      </c>
      <c r="G28" s="24"/>
      <c r="H28" s="24"/>
      <c r="L28" s="12"/>
      <c r="M28" s="12"/>
    </row>
    <row r="29" spans="1:13" ht="14.25" customHeight="1" x14ac:dyDescent="0.2">
      <c r="A29" s="2">
        <v>28</v>
      </c>
      <c r="B29" s="2">
        <v>28</v>
      </c>
      <c r="C29" s="2">
        <v>29</v>
      </c>
      <c r="D29" s="6">
        <v>0.80420000000000003</v>
      </c>
      <c r="E29" s="6">
        <v>0.7006</v>
      </c>
      <c r="G29" s="24"/>
      <c r="H29" s="24"/>
      <c r="L29" s="12"/>
      <c r="M29" s="12"/>
    </row>
    <row r="30" spans="1:13" ht="14.25" customHeight="1" x14ac:dyDescent="0.2">
      <c r="A30" s="2">
        <v>29</v>
      </c>
      <c r="B30" s="2">
        <v>29</v>
      </c>
      <c r="C30" s="2">
        <v>30</v>
      </c>
      <c r="D30" s="6">
        <v>0.50749999999999995</v>
      </c>
      <c r="E30" s="6">
        <v>0.25850000000000001</v>
      </c>
      <c r="G30" s="24"/>
      <c r="H30" s="24"/>
      <c r="L30" s="12"/>
      <c r="M30" s="12"/>
    </row>
    <row r="31" spans="1:13" ht="14.25" customHeight="1" x14ac:dyDescent="0.2">
      <c r="A31" s="2">
        <v>30</v>
      </c>
      <c r="B31" s="2">
        <v>30</v>
      </c>
      <c r="C31" s="2">
        <v>31</v>
      </c>
      <c r="D31" s="6">
        <v>0.97440000000000004</v>
      </c>
      <c r="E31" s="6">
        <v>0.96299999999999997</v>
      </c>
      <c r="G31" s="24"/>
      <c r="H31" s="24"/>
      <c r="L31" s="12"/>
      <c r="M31" s="12"/>
    </row>
    <row r="32" spans="1:13" ht="14.25" customHeight="1" x14ac:dyDescent="0.2">
      <c r="A32" s="2">
        <v>31</v>
      </c>
      <c r="B32" s="2">
        <v>31</v>
      </c>
      <c r="C32" s="2">
        <v>32</v>
      </c>
      <c r="D32" s="6">
        <v>0.3105</v>
      </c>
      <c r="E32" s="6">
        <v>0.3619</v>
      </c>
      <c r="G32" s="24"/>
      <c r="H32" s="24"/>
      <c r="L32" s="12"/>
      <c r="M32" s="12"/>
    </row>
    <row r="33" spans="1:13" ht="14.25" customHeight="1" x14ac:dyDescent="0.2">
      <c r="A33" s="2">
        <v>32</v>
      </c>
      <c r="B33" s="2">
        <v>32</v>
      </c>
      <c r="C33" s="2">
        <v>33</v>
      </c>
      <c r="D33" s="6">
        <v>0.34100000000000003</v>
      </c>
      <c r="E33" s="6">
        <v>0.5302</v>
      </c>
      <c r="G33" s="24"/>
      <c r="H33" s="24"/>
      <c r="L33" s="12"/>
      <c r="M33" s="12"/>
    </row>
  </sheetData>
  <phoneticPr fontId="10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1ADA4-893F-4427-B52E-168D422D17D1}">
  <dimension ref="A1:BY83"/>
  <sheetViews>
    <sheetView zoomScale="115" zoomScaleNormal="115" workbookViewId="0">
      <selection activeCell="P2" sqref="P2:S26"/>
    </sheetView>
  </sheetViews>
  <sheetFormatPr defaultRowHeight="14.25" x14ac:dyDescent="0.2"/>
  <cols>
    <col min="37" max="37" width="17.125" customWidth="1"/>
    <col min="38" max="38" width="13.25" bestFit="1" customWidth="1"/>
    <col min="39" max="39" width="16.875" customWidth="1"/>
  </cols>
  <sheetData>
    <row r="1" spans="1:77" ht="23.25" x14ac:dyDescent="0.2">
      <c r="A1" s="44" t="s">
        <v>58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AK1">
        <v>0</v>
      </c>
      <c r="AL1">
        <v>0.1</v>
      </c>
      <c r="AM1">
        <v>0.09</v>
      </c>
      <c r="AN1">
        <v>0.12</v>
      </c>
      <c r="AO1">
        <v>0.06</v>
      </c>
      <c r="AP1">
        <v>0.06</v>
      </c>
      <c r="AQ1">
        <v>0.2</v>
      </c>
      <c r="AR1">
        <v>0.2</v>
      </c>
      <c r="AS1">
        <v>0.06</v>
      </c>
      <c r="AT1">
        <v>0.06</v>
      </c>
      <c r="AU1">
        <v>4.4999999999999998E-2</v>
      </c>
      <c r="AV1">
        <v>0.06</v>
      </c>
      <c r="AW1">
        <v>0.06</v>
      </c>
      <c r="AX1">
        <v>0.12</v>
      </c>
      <c r="AY1">
        <v>0.06</v>
      </c>
      <c r="AZ1">
        <v>0.06</v>
      </c>
      <c r="BA1">
        <v>0.06</v>
      </c>
      <c r="BB1">
        <v>0.09</v>
      </c>
      <c r="BC1">
        <v>0.09</v>
      </c>
      <c r="BD1">
        <v>0.09</v>
      </c>
      <c r="BE1">
        <v>0.09</v>
      </c>
      <c r="BF1">
        <v>0.09</v>
      </c>
      <c r="BG1">
        <v>0.09</v>
      </c>
      <c r="BH1">
        <v>0.42</v>
      </c>
      <c r="BI1">
        <v>0.42</v>
      </c>
      <c r="BJ1">
        <v>0.06</v>
      </c>
      <c r="BK1">
        <v>0.06</v>
      </c>
      <c r="BL1">
        <v>0.06</v>
      </c>
      <c r="BM1">
        <v>0.12</v>
      </c>
      <c r="BN1">
        <v>0.2</v>
      </c>
      <c r="BO1">
        <v>0.15</v>
      </c>
      <c r="BP1">
        <v>0.21</v>
      </c>
      <c r="BQ1">
        <v>0.06</v>
      </c>
    </row>
    <row r="2" spans="1:77" x14ac:dyDescent="0.2">
      <c r="A2" s="2" t="s">
        <v>0</v>
      </c>
      <c r="B2" s="2" t="s">
        <v>60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29</v>
      </c>
      <c r="U2" s="2" t="s">
        <v>30</v>
      </c>
      <c r="V2" s="2" t="s">
        <v>31</v>
      </c>
      <c r="W2" s="2" t="s">
        <v>32</v>
      </c>
      <c r="X2" s="2" t="s">
        <v>33</v>
      </c>
      <c r="Y2" s="2" t="s">
        <v>34</v>
      </c>
      <c r="Z2" s="2" t="s">
        <v>35</v>
      </c>
      <c r="AA2" s="2" t="s">
        <v>36</v>
      </c>
      <c r="AB2" s="2" t="s">
        <v>37</v>
      </c>
      <c r="AC2" s="2" t="s">
        <v>38</v>
      </c>
      <c r="AD2" s="2" t="s">
        <v>39</v>
      </c>
      <c r="AE2" s="2" t="s">
        <v>40</v>
      </c>
      <c r="AF2" s="2" t="s">
        <v>41</v>
      </c>
      <c r="AG2" s="2" t="s">
        <v>42</v>
      </c>
      <c r="AH2" s="2" t="s">
        <v>43</v>
      </c>
      <c r="AK2">
        <f>AK1/SUM($AK$1:$BQ$1)</f>
        <v>0</v>
      </c>
      <c r="AL2">
        <f>AL1/SUM($AK$1:$BQ$1)</f>
        <v>2.6917900403768499E-2</v>
      </c>
      <c r="AM2">
        <f t="shared" ref="AM2:BQ2" si="0">AM1/SUM($AK$1:$BQ$1)</f>
        <v>2.4226110363391645E-2</v>
      </c>
      <c r="AN2">
        <f t="shared" si="0"/>
        <v>3.2301480484522194E-2</v>
      </c>
      <c r="AO2">
        <f t="shared" si="0"/>
        <v>1.6150740242261097E-2</v>
      </c>
      <c r="AP2">
        <f t="shared" si="0"/>
        <v>1.6150740242261097E-2</v>
      </c>
      <c r="AQ2">
        <f t="shared" si="0"/>
        <v>5.3835800807536999E-2</v>
      </c>
      <c r="AR2">
        <f t="shared" si="0"/>
        <v>5.3835800807536999E-2</v>
      </c>
      <c r="AS2">
        <f t="shared" si="0"/>
        <v>1.6150740242261097E-2</v>
      </c>
      <c r="AT2">
        <f t="shared" si="0"/>
        <v>1.6150740242261097E-2</v>
      </c>
      <c r="AU2">
        <f t="shared" si="0"/>
        <v>1.2113055181695823E-2</v>
      </c>
      <c r="AV2">
        <f t="shared" si="0"/>
        <v>1.6150740242261097E-2</v>
      </c>
      <c r="AW2">
        <f t="shared" si="0"/>
        <v>1.6150740242261097E-2</v>
      </c>
      <c r="AX2">
        <f t="shared" si="0"/>
        <v>3.2301480484522194E-2</v>
      </c>
      <c r="AY2">
        <f t="shared" si="0"/>
        <v>1.6150740242261097E-2</v>
      </c>
      <c r="AZ2">
        <f t="shared" si="0"/>
        <v>1.6150740242261097E-2</v>
      </c>
      <c r="BA2">
        <f t="shared" si="0"/>
        <v>1.6150740242261097E-2</v>
      </c>
      <c r="BB2">
        <f t="shared" si="0"/>
        <v>2.4226110363391645E-2</v>
      </c>
      <c r="BC2">
        <f t="shared" si="0"/>
        <v>2.4226110363391645E-2</v>
      </c>
      <c r="BD2">
        <f t="shared" si="0"/>
        <v>2.4226110363391645E-2</v>
      </c>
      <c r="BE2">
        <f t="shared" si="0"/>
        <v>2.4226110363391645E-2</v>
      </c>
      <c r="BF2">
        <f t="shared" si="0"/>
        <v>2.4226110363391645E-2</v>
      </c>
      <c r="BG2">
        <f t="shared" si="0"/>
        <v>2.4226110363391645E-2</v>
      </c>
      <c r="BH2">
        <f t="shared" si="0"/>
        <v>0.11305518169582769</v>
      </c>
      <c r="BI2">
        <f t="shared" si="0"/>
        <v>0.11305518169582769</v>
      </c>
      <c r="BJ2">
        <f t="shared" si="0"/>
        <v>1.6150740242261097E-2</v>
      </c>
      <c r="BK2">
        <f t="shared" si="0"/>
        <v>1.6150740242261097E-2</v>
      </c>
      <c r="BL2">
        <f t="shared" si="0"/>
        <v>1.6150740242261097E-2</v>
      </c>
      <c r="BM2">
        <f t="shared" si="0"/>
        <v>3.2301480484522194E-2</v>
      </c>
      <c r="BN2">
        <f t="shared" si="0"/>
        <v>5.3835800807536999E-2</v>
      </c>
      <c r="BO2">
        <f t="shared" si="0"/>
        <v>4.0376850605652742E-2</v>
      </c>
      <c r="BP2">
        <f t="shared" si="0"/>
        <v>5.6527590847913846E-2</v>
      </c>
      <c r="BQ2">
        <f t="shared" si="0"/>
        <v>1.6150740242261097E-2</v>
      </c>
    </row>
    <row r="3" spans="1:77" x14ac:dyDescent="0.2">
      <c r="A3" s="2">
        <v>1</v>
      </c>
      <c r="B3" s="2">
        <v>0</v>
      </c>
      <c r="C3" s="2">
        <v>1.4398221808882903</v>
      </c>
      <c r="D3" s="2">
        <v>1.295839962799461</v>
      </c>
      <c r="E3" s="2">
        <v>1.7277866170659482</v>
      </c>
      <c r="F3" s="2">
        <v>0.86389330853297408</v>
      </c>
      <c r="G3" s="2">
        <v>0.86389330853297408</v>
      </c>
      <c r="H3" s="2">
        <v>2.8796443617765806</v>
      </c>
      <c r="I3" s="2">
        <v>2.8796443617765806</v>
      </c>
      <c r="J3" s="2">
        <v>0.86389330853297408</v>
      </c>
      <c r="K3" s="2">
        <v>0.86389330853297408</v>
      </c>
      <c r="L3" s="2">
        <v>0.6479199813997305</v>
      </c>
      <c r="M3" s="2">
        <v>0.86389330853297408</v>
      </c>
      <c r="N3" s="2">
        <v>0.86389330853297408</v>
      </c>
      <c r="O3" s="2">
        <v>1.7277866170659482</v>
      </c>
      <c r="P3" s="2">
        <v>0.86389330853297408</v>
      </c>
      <c r="Q3" s="2">
        <v>0.86389330853297408</v>
      </c>
      <c r="R3" s="2">
        <v>0.86389330853297408</v>
      </c>
      <c r="S3" s="2">
        <v>1.295839962799461</v>
      </c>
      <c r="T3" s="2">
        <v>1.295839962799461</v>
      </c>
      <c r="U3" s="2">
        <v>1.295839962799461</v>
      </c>
      <c r="V3" s="2">
        <v>1.295839962799461</v>
      </c>
      <c r="W3" s="2">
        <v>1.295839962799461</v>
      </c>
      <c r="X3" s="2">
        <v>1.295839962799461</v>
      </c>
      <c r="Y3" s="2">
        <v>6.0472531597308192</v>
      </c>
      <c r="Z3" s="2">
        <v>6.0472531597308192</v>
      </c>
      <c r="AA3" s="2">
        <v>0.86389330853297408</v>
      </c>
      <c r="AB3" s="2">
        <v>0.86389330853297408</v>
      </c>
      <c r="AC3" s="2">
        <v>0.86389330853297408</v>
      </c>
      <c r="AD3" s="2">
        <v>1.7277866170659482</v>
      </c>
      <c r="AE3" s="2">
        <v>2.8796443617765806</v>
      </c>
      <c r="AF3" s="2">
        <v>2.1597332713324353</v>
      </c>
      <c r="AG3" s="2">
        <v>3.0236265798654096</v>
      </c>
      <c r="AH3" s="2">
        <v>0.86389330853297408</v>
      </c>
      <c r="AI3" s="1">
        <v>53.489394019999999</v>
      </c>
      <c r="AJ3">
        <f>SUM(B3:AH3)</f>
        <v>53.489394019999978</v>
      </c>
      <c r="AK3" s="1">
        <f>$AI3*AK$2</f>
        <v>0</v>
      </c>
      <c r="AL3" s="1">
        <f t="shared" ref="AL3:BQ10" si="1">$AI3*AL$2</f>
        <v>1.4398221808882903</v>
      </c>
      <c r="AM3" s="1">
        <f t="shared" si="1"/>
        <v>1.295839962799461</v>
      </c>
      <c r="AN3" s="1">
        <f t="shared" si="1"/>
        <v>1.7277866170659482</v>
      </c>
      <c r="AO3" s="1">
        <f t="shared" si="1"/>
        <v>0.86389330853297408</v>
      </c>
      <c r="AP3" s="1">
        <f t="shared" si="1"/>
        <v>0.86389330853297408</v>
      </c>
      <c r="AQ3" s="1">
        <f t="shared" si="1"/>
        <v>2.8796443617765806</v>
      </c>
      <c r="AR3" s="1">
        <f t="shared" si="1"/>
        <v>2.8796443617765806</v>
      </c>
      <c r="AS3" s="1">
        <f t="shared" si="1"/>
        <v>0.86389330853297408</v>
      </c>
      <c r="AT3" s="1">
        <f t="shared" si="1"/>
        <v>0.86389330853297408</v>
      </c>
      <c r="AU3" s="1">
        <f t="shared" si="1"/>
        <v>0.6479199813997305</v>
      </c>
      <c r="AV3" s="1">
        <f t="shared" si="1"/>
        <v>0.86389330853297408</v>
      </c>
      <c r="AW3" s="1">
        <f t="shared" si="1"/>
        <v>0.86389330853297408</v>
      </c>
      <c r="AX3" s="1">
        <f t="shared" si="1"/>
        <v>1.7277866170659482</v>
      </c>
      <c r="AY3" s="1">
        <f t="shared" si="1"/>
        <v>0.86389330853297408</v>
      </c>
      <c r="AZ3" s="1">
        <f t="shared" si="1"/>
        <v>0.86389330853297408</v>
      </c>
      <c r="BA3" s="1">
        <f t="shared" si="1"/>
        <v>0.86389330853297408</v>
      </c>
      <c r="BB3" s="1">
        <f t="shared" si="1"/>
        <v>1.295839962799461</v>
      </c>
      <c r="BC3" s="1">
        <f t="shared" si="1"/>
        <v>1.295839962799461</v>
      </c>
      <c r="BD3" s="1">
        <f t="shared" si="1"/>
        <v>1.295839962799461</v>
      </c>
      <c r="BE3" s="1">
        <f t="shared" si="1"/>
        <v>1.295839962799461</v>
      </c>
      <c r="BF3" s="1">
        <f t="shared" si="1"/>
        <v>1.295839962799461</v>
      </c>
      <c r="BG3" s="1">
        <f t="shared" si="1"/>
        <v>1.295839962799461</v>
      </c>
      <c r="BH3" s="1">
        <f t="shared" si="1"/>
        <v>6.0472531597308192</v>
      </c>
      <c r="BI3" s="1">
        <f t="shared" si="1"/>
        <v>6.0472531597308192</v>
      </c>
      <c r="BJ3" s="1">
        <f t="shared" si="1"/>
        <v>0.86389330853297408</v>
      </c>
      <c r="BK3" s="1">
        <f t="shared" si="1"/>
        <v>0.86389330853297408</v>
      </c>
      <c r="BL3" s="1">
        <f t="shared" si="1"/>
        <v>0.86389330853297408</v>
      </c>
      <c r="BM3" s="1">
        <f t="shared" si="1"/>
        <v>1.7277866170659482</v>
      </c>
      <c r="BN3" s="1">
        <f t="shared" si="1"/>
        <v>2.8796443617765806</v>
      </c>
      <c r="BO3" s="1">
        <f t="shared" si="1"/>
        <v>2.1597332713324353</v>
      </c>
      <c r="BP3" s="1">
        <f t="shared" si="1"/>
        <v>3.0236265798654096</v>
      </c>
      <c r="BQ3" s="1">
        <f t="shared" si="1"/>
        <v>0.86389330853297408</v>
      </c>
      <c r="BR3" s="1"/>
      <c r="BS3" s="1"/>
      <c r="BT3" s="1"/>
      <c r="BU3" s="1"/>
      <c r="BV3" s="1"/>
      <c r="BW3" s="1"/>
      <c r="BX3" s="1"/>
      <c r="BY3" s="1"/>
    </row>
    <row r="4" spans="1:77" x14ac:dyDescent="0.2">
      <c r="A4" s="2">
        <v>2</v>
      </c>
      <c r="B4" s="2">
        <v>0</v>
      </c>
      <c r="C4" s="2">
        <v>1.478221756123822</v>
      </c>
      <c r="D4" s="2">
        <v>1.3303995805114397</v>
      </c>
      <c r="E4" s="2">
        <v>1.7738661073485862</v>
      </c>
      <c r="F4" s="2">
        <v>0.88693305367429309</v>
      </c>
      <c r="G4" s="2">
        <v>0.88693305367429309</v>
      </c>
      <c r="H4" s="2">
        <v>2.956443512247644</v>
      </c>
      <c r="I4" s="2">
        <v>2.956443512247644</v>
      </c>
      <c r="J4" s="2">
        <v>0.88693305367429309</v>
      </c>
      <c r="K4" s="2">
        <v>0.88693305367429309</v>
      </c>
      <c r="L4" s="2">
        <v>0.66519979025571985</v>
      </c>
      <c r="M4" s="2">
        <v>0.88693305367429309</v>
      </c>
      <c r="N4" s="2">
        <v>0.88693305367429309</v>
      </c>
      <c r="O4" s="2">
        <v>1.7738661073485862</v>
      </c>
      <c r="P4" s="2">
        <v>0.88693305367429309</v>
      </c>
      <c r="Q4" s="2">
        <v>0.88693305367429309</v>
      </c>
      <c r="R4" s="2">
        <v>0.88693305367429309</v>
      </c>
      <c r="S4" s="2">
        <v>1.3303995805114397</v>
      </c>
      <c r="T4" s="2">
        <v>1.3303995805114397</v>
      </c>
      <c r="U4" s="2">
        <v>1.3303995805114397</v>
      </c>
      <c r="V4" s="2">
        <v>1.3303995805114397</v>
      </c>
      <c r="W4" s="2">
        <v>1.3303995805114397</v>
      </c>
      <c r="X4" s="2">
        <v>1.3303995805114397</v>
      </c>
      <c r="Y4" s="2">
        <v>6.2085313757200522</v>
      </c>
      <c r="Z4" s="2">
        <v>6.2085313757200522</v>
      </c>
      <c r="AA4" s="2">
        <v>0.88693305367429309</v>
      </c>
      <c r="AB4" s="2">
        <v>0.88693305367429309</v>
      </c>
      <c r="AC4" s="2">
        <v>0.88693305367429309</v>
      </c>
      <c r="AD4" s="2">
        <v>1.7738661073485862</v>
      </c>
      <c r="AE4" s="2">
        <v>2.956443512247644</v>
      </c>
      <c r="AF4" s="2">
        <v>2.2173326341857327</v>
      </c>
      <c r="AG4" s="2">
        <v>3.1042656878600261</v>
      </c>
      <c r="AH4" s="2">
        <v>0.88693305367429309</v>
      </c>
      <c r="AI4" s="1">
        <v>54.915938240000003</v>
      </c>
      <c r="AJ4">
        <f t="shared" ref="AJ4:AJ26" si="2">SUM(B4:AH4)</f>
        <v>54.915938239999974</v>
      </c>
      <c r="AK4" s="1">
        <f t="shared" ref="AK4:AZ25" si="3">$AI4*AK$2</f>
        <v>0</v>
      </c>
      <c r="AL4" s="1">
        <f t="shared" si="1"/>
        <v>1.478221756123822</v>
      </c>
      <c r="AM4" s="1">
        <f t="shared" si="1"/>
        <v>1.3303995805114397</v>
      </c>
      <c r="AN4" s="1">
        <f t="shared" si="1"/>
        <v>1.7738661073485862</v>
      </c>
      <c r="AO4" s="1">
        <f t="shared" si="1"/>
        <v>0.88693305367429309</v>
      </c>
      <c r="AP4" s="1">
        <f t="shared" si="1"/>
        <v>0.88693305367429309</v>
      </c>
      <c r="AQ4" s="1">
        <f t="shared" si="1"/>
        <v>2.956443512247644</v>
      </c>
      <c r="AR4" s="1">
        <f t="shared" si="1"/>
        <v>2.956443512247644</v>
      </c>
      <c r="AS4" s="1">
        <f t="shared" si="1"/>
        <v>0.88693305367429309</v>
      </c>
      <c r="AT4" s="1">
        <f t="shared" si="1"/>
        <v>0.88693305367429309</v>
      </c>
      <c r="AU4" s="1">
        <f t="shared" si="1"/>
        <v>0.66519979025571985</v>
      </c>
      <c r="AV4" s="1">
        <f t="shared" si="1"/>
        <v>0.88693305367429309</v>
      </c>
      <c r="AW4" s="1">
        <f t="shared" si="1"/>
        <v>0.88693305367429309</v>
      </c>
      <c r="AX4" s="1">
        <f t="shared" si="1"/>
        <v>1.7738661073485862</v>
      </c>
      <c r="AY4" s="1">
        <f t="shared" si="1"/>
        <v>0.88693305367429309</v>
      </c>
      <c r="AZ4" s="1">
        <f t="shared" si="1"/>
        <v>0.88693305367429309</v>
      </c>
      <c r="BA4" s="1">
        <f t="shared" si="1"/>
        <v>0.88693305367429309</v>
      </c>
      <c r="BB4" s="1">
        <f t="shared" si="1"/>
        <v>1.3303995805114397</v>
      </c>
      <c r="BC4" s="1">
        <f t="shared" si="1"/>
        <v>1.3303995805114397</v>
      </c>
      <c r="BD4" s="1">
        <f t="shared" si="1"/>
        <v>1.3303995805114397</v>
      </c>
      <c r="BE4" s="1">
        <f t="shared" si="1"/>
        <v>1.3303995805114397</v>
      </c>
      <c r="BF4" s="1">
        <f t="shared" si="1"/>
        <v>1.3303995805114397</v>
      </c>
      <c r="BG4" s="1">
        <f t="shared" si="1"/>
        <v>1.3303995805114397</v>
      </c>
      <c r="BH4" s="1">
        <f t="shared" si="1"/>
        <v>6.2085313757200522</v>
      </c>
      <c r="BI4" s="1">
        <f t="shared" si="1"/>
        <v>6.2085313757200522</v>
      </c>
      <c r="BJ4" s="1">
        <f t="shared" si="1"/>
        <v>0.88693305367429309</v>
      </c>
      <c r="BK4" s="1">
        <f t="shared" si="1"/>
        <v>0.88693305367429309</v>
      </c>
      <c r="BL4" s="1">
        <f t="shared" si="1"/>
        <v>0.88693305367429309</v>
      </c>
      <c r="BM4" s="1">
        <f t="shared" si="1"/>
        <v>1.7738661073485862</v>
      </c>
      <c r="BN4" s="1">
        <f t="shared" si="1"/>
        <v>2.956443512247644</v>
      </c>
      <c r="BO4" s="1">
        <f t="shared" si="1"/>
        <v>2.2173326341857327</v>
      </c>
      <c r="BP4" s="1">
        <f t="shared" si="1"/>
        <v>3.1042656878600261</v>
      </c>
      <c r="BQ4" s="1">
        <f t="shared" si="1"/>
        <v>0.88693305367429309</v>
      </c>
      <c r="BR4" s="1"/>
      <c r="BS4" s="1"/>
      <c r="BT4" s="1"/>
      <c r="BU4" s="1"/>
      <c r="BV4" s="1"/>
      <c r="BW4" s="1"/>
      <c r="BX4" s="1"/>
      <c r="BY4" s="1"/>
    </row>
    <row r="5" spans="1:77" x14ac:dyDescent="0.2">
      <c r="A5" s="2">
        <v>3</v>
      </c>
      <c r="B5" s="2">
        <v>0</v>
      </c>
      <c r="C5" s="2">
        <v>1.4747249986541044</v>
      </c>
      <c r="D5" s="2">
        <v>1.3272524987886938</v>
      </c>
      <c r="E5" s="2">
        <v>1.7696699983849251</v>
      </c>
      <c r="F5" s="2">
        <v>0.88483499919246256</v>
      </c>
      <c r="G5" s="2">
        <v>0.88483499919246256</v>
      </c>
      <c r="H5" s="2">
        <v>2.9494499973082089</v>
      </c>
      <c r="I5" s="2">
        <v>2.9494499973082089</v>
      </c>
      <c r="J5" s="2">
        <v>0.88483499919246256</v>
      </c>
      <c r="K5" s="2">
        <v>0.88483499919246256</v>
      </c>
      <c r="L5" s="2">
        <v>0.66362624939434689</v>
      </c>
      <c r="M5" s="2">
        <v>0.88483499919246256</v>
      </c>
      <c r="N5" s="2">
        <v>0.88483499919246256</v>
      </c>
      <c r="O5" s="2">
        <v>1.7696699983849251</v>
      </c>
      <c r="P5" s="2">
        <v>0.88483499919246256</v>
      </c>
      <c r="Q5" s="2">
        <v>0.88483499919246256</v>
      </c>
      <c r="R5" s="2">
        <v>0.88483499919246256</v>
      </c>
      <c r="S5" s="2">
        <v>1.3272524987886938</v>
      </c>
      <c r="T5" s="2">
        <v>1.3272524987886938</v>
      </c>
      <c r="U5" s="2">
        <v>1.3272524987886938</v>
      </c>
      <c r="V5" s="2">
        <v>1.3272524987886938</v>
      </c>
      <c r="W5" s="2">
        <v>1.3272524987886938</v>
      </c>
      <c r="X5" s="2">
        <v>1.3272524987886938</v>
      </c>
      <c r="Y5" s="2">
        <v>6.1938449943472387</v>
      </c>
      <c r="Z5" s="2">
        <v>6.1938449943472387</v>
      </c>
      <c r="AA5" s="2">
        <v>0.88483499919246256</v>
      </c>
      <c r="AB5" s="2">
        <v>0.88483499919246256</v>
      </c>
      <c r="AC5" s="2">
        <v>0.88483499919246256</v>
      </c>
      <c r="AD5" s="2">
        <v>1.7696699983849251</v>
      </c>
      <c r="AE5" s="2">
        <v>2.9494499973082089</v>
      </c>
      <c r="AF5" s="2">
        <v>2.2120874979811562</v>
      </c>
      <c r="AG5" s="2">
        <v>3.0969224971736193</v>
      </c>
      <c r="AH5" s="2">
        <v>0.88483499919246256</v>
      </c>
      <c r="AI5" s="1">
        <v>54.786033699999997</v>
      </c>
      <c r="AJ5">
        <f t="shared" si="2"/>
        <v>54.786033699999997</v>
      </c>
      <c r="AK5" s="1">
        <f t="shared" si="3"/>
        <v>0</v>
      </c>
      <c r="AL5" s="1">
        <f t="shared" si="1"/>
        <v>1.4747249986541044</v>
      </c>
      <c r="AM5" s="1">
        <f t="shared" si="1"/>
        <v>1.3272524987886938</v>
      </c>
      <c r="AN5" s="1">
        <f t="shared" si="1"/>
        <v>1.7696699983849251</v>
      </c>
      <c r="AO5" s="1">
        <f t="shared" si="1"/>
        <v>0.88483499919246256</v>
      </c>
      <c r="AP5" s="1">
        <f t="shared" si="1"/>
        <v>0.88483499919246256</v>
      </c>
      <c r="AQ5" s="1">
        <f t="shared" si="1"/>
        <v>2.9494499973082089</v>
      </c>
      <c r="AR5" s="1">
        <f t="shared" si="1"/>
        <v>2.9494499973082089</v>
      </c>
      <c r="AS5" s="1">
        <f t="shared" si="1"/>
        <v>0.88483499919246256</v>
      </c>
      <c r="AT5" s="1">
        <f t="shared" si="1"/>
        <v>0.88483499919246256</v>
      </c>
      <c r="AU5" s="1">
        <f t="shared" si="1"/>
        <v>0.66362624939434689</v>
      </c>
      <c r="AV5" s="1">
        <f t="shared" si="1"/>
        <v>0.88483499919246256</v>
      </c>
      <c r="AW5" s="1">
        <f t="shared" si="1"/>
        <v>0.88483499919246256</v>
      </c>
      <c r="AX5" s="1">
        <f t="shared" si="1"/>
        <v>1.7696699983849251</v>
      </c>
      <c r="AY5" s="1">
        <f t="shared" si="1"/>
        <v>0.88483499919246256</v>
      </c>
      <c r="AZ5" s="1">
        <f t="shared" si="1"/>
        <v>0.88483499919246256</v>
      </c>
      <c r="BA5" s="1">
        <f t="shared" si="1"/>
        <v>0.88483499919246256</v>
      </c>
      <c r="BB5" s="1">
        <f t="shared" si="1"/>
        <v>1.3272524987886938</v>
      </c>
      <c r="BC5" s="1">
        <f t="shared" si="1"/>
        <v>1.3272524987886938</v>
      </c>
      <c r="BD5" s="1">
        <f t="shared" si="1"/>
        <v>1.3272524987886938</v>
      </c>
      <c r="BE5" s="1">
        <f t="shared" si="1"/>
        <v>1.3272524987886938</v>
      </c>
      <c r="BF5" s="1">
        <f t="shared" si="1"/>
        <v>1.3272524987886938</v>
      </c>
      <c r="BG5" s="1">
        <f t="shared" si="1"/>
        <v>1.3272524987886938</v>
      </c>
      <c r="BH5" s="1">
        <f t="shared" si="1"/>
        <v>6.1938449943472387</v>
      </c>
      <c r="BI5" s="1">
        <f t="shared" si="1"/>
        <v>6.1938449943472387</v>
      </c>
      <c r="BJ5" s="1">
        <f t="shared" si="1"/>
        <v>0.88483499919246256</v>
      </c>
      <c r="BK5" s="1">
        <f t="shared" si="1"/>
        <v>0.88483499919246256</v>
      </c>
      <c r="BL5" s="1">
        <f t="shared" si="1"/>
        <v>0.88483499919246256</v>
      </c>
      <c r="BM5" s="1">
        <f t="shared" si="1"/>
        <v>1.7696699983849251</v>
      </c>
      <c r="BN5" s="1">
        <f t="shared" si="1"/>
        <v>2.9494499973082089</v>
      </c>
      <c r="BO5" s="1">
        <f t="shared" si="1"/>
        <v>2.2120874979811562</v>
      </c>
      <c r="BP5" s="1">
        <f t="shared" si="1"/>
        <v>3.0969224971736193</v>
      </c>
      <c r="BQ5" s="1">
        <f t="shared" si="1"/>
        <v>0.88483499919246256</v>
      </c>
      <c r="BR5" s="1"/>
      <c r="BS5" s="1"/>
      <c r="BT5" s="1"/>
      <c r="BU5" s="1"/>
      <c r="BV5" s="1"/>
      <c r="BW5" s="1"/>
      <c r="BX5" s="1"/>
      <c r="BY5" s="1"/>
    </row>
    <row r="6" spans="1:77" x14ac:dyDescent="0.2">
      <c r="A6" s="2">
        <v>4</v>
      </c>
      <c r="B6" s="2">
        <v>0</v>
      </c>
      <c r="C6" s="2">
        <v>1.4853447800807533</v>
      </c>
      <c r="D6" s="2">
        <v>1.3368103020726778</v>
      </c>
      <c r="E6" s="2">
        <v>1.7824137360969039</v>
      </c>
      <c r="F6" s="2">
        <v>0.89120686804845195</v>
      </c>
      <c r="G6" s="2">
        <v>0.89120686804845195</v>
      </c>
      <c r="H6" s="2">
        <v>2.9706895601615066</v>
      </c>
      <c r="I6" s="2">
        <v>2.9706895601615066</v>
      </c>
      <c r="J6" s="2">
        <v>0.89120686804845195</v>
      </c>
      <c r="K6" s="2">
        <v>0.89120686804845195</v>
      </c>
      <c r="L6" s="2">
        <v>0.66840515103633891</v>
      </c>
      <c r="M6" s="2">
        <v>0.89120686804845195</v>
      </c>
      <c r="N6" s="2">
        <v>0.89120686804845195</v>
      </c>
      <c r="O6" s="2">
        <v>1.7824137360969039</v>
      </c>
      <c r="P6" s="2">
        <v>0.89120686804845195</v>
      </c>
      <c r="Q6" s="2">
        <v>0.89120686804845195</v>
      </c>
      <c r="R6" s="2">
        <v>0.89120686804845195</v>
      </c>
      <c r="S6" s="2">
        <v>1.3368103020726778</v>
      </c>
      <c r="T6" s="2">
        <v>1.3368103020726778</v>
      </c>
      <c r="U6" s="2">
        <v>1.3368103020726778</v>
      </c>
      <c r="V6" s="2">
        <v>1.3368103020726778</v>
      </c>
      <c r="W6" s="2">
        <v>1.3368103020726778</v>
      </c>
      <c r="X6" s="2">
        <v>1.3368103020726778</v>
      </c>
      <c r="Y6" s="2">
        <v>6.2384480763391643</v>
      </c>
      <c r="Z6" s="2">
        <v>6.2384480763391643</v>
      </c>
      <c r="AA6" s="2">
        <v>0.89120686804845195</v>
      </c>
      <c r="AB6" s="2">
        <v>0.89120686804845195</v>
      </c>
      <c r="AC6" s="2">
        <v>0.89120686804845195</v>
      </c>
      <c r="AD6" s="2">
        <v>1.7824137360969039</v>
      </c>
      <c r="AE6" s="2">
        <v>2.9706895601615066</v>
      </c>
      <c r="AF6" s="2">
        <v>2.2280171701211295</v>
      </c>
      <c r="AG6" s="2">
        <v>3.1192240381695822</v>
      </c>
      <c r="AH6" s="2">
        <v>0.89120686804845195</v>
      </c>
      <c r="AI6" s="1">
        <v>55.180558580000003</v>
      </c>
      <c r="AJ6">
        <f t="shared" si="2"/>
        <v>55.180558579999975</v>
      </c>
      <c r="AK6" s="1">
        <f t="shared" si="3"/>
        <v>0</v>
      </c>
      <c r="AL6" s="1">
        <f t="shared" si="1"/>
        <v>1.4853447800807533</v>
      </c>
      <c r="AM6" s="1">
        <f t="shared" si="1"/>
        <v>1.3368103020726778</v>
      </c>
      <c r="AN6" s="1">
        <f t="shared" si="1"/>
        <v>1.7824137360969039</v>
      </c>
      <c r="AO6" s="1">
        <f t="shared" si="1"/>
        <v>0.89120686804845195</v>
      </c>
      <c r="AP6" s="1">
        <f t="shared" si="1"/>
        <v>0.89120686804845195</v>
      </c>
      <c r="AQ6" s="1">
        <f t="shared" si="1"/>
        <v>2.9706895601615066</v>
      </c>
      <c r="AR6" s="1">
        <f t="shared" si="1"/>
        <v>2.9706895601615066</v>
      </c>
      <c r="AS6" s="1">
        <f t="shared" si="1"/>
        <v>0.89120686804845195</v>
      </c>
      <c r="AT6" s="1">
        <f t="shared" si="1"/>
        <v>0.89120686804845195</v>
      </c>
      <c r="AU6" s="1">
        <f t="shared" si="1"/>
        <v>0.66840515103633891</v>
      </c>
      <c r="AV6" s="1">
        <f t="shared" si="1"/>
        <v>0.89120686804845195</v>
      </c>
      <c r="AW6" s="1">
        <f t="shared" si="1"/>
        <v>0.89120686804845195</v>
      </c>
      <c r="AX6" s="1">
        <f t="shared" si="1"/>
        <v>1.7824137360969039</v>
      </c>
      <c r="AY6" s="1">
        <f t="shared" si="1"/>
        <v>0.89120686804845195</v>
      </c>
      <c r="AZ6" s="1">
        <f t="shared" si="1"/>
        <v>0.89120686804845195</v>
      </c>
      <c r="BA6" s="1">
        <f t="shared" si="1"/>
        <v>0.89120686804845195</v>
      </c>
      <c r="BB6" s="1">
        <f t="shared" si="1"/>
        <v>1.3368103020726778</v>
      </c>
      <c r="BC6" s="1">
        <f t="shared" si="1"/>
        <v>1.3368103020726778</v>
      </c>
      <c r="BD6" s="1">
        <f t="shared" si="1"/>
        <v>1.3368103020726778</v>
      </c>
      <c r="BE6" s="1">
        <f t="shared" si="1"/>
        <v>1.3368103020726778</v>
      </c>
      <c r="BF6" s="1">
        <f t="shared" si="1"/>
        <v>1.3368103020726778</v>
      </c>
      <c r="BG6" s="1">
        <f t="shared" si="1"/>
        <v>1.3368103020726778</v>
      </c>
      <c r="BH6" s="1">
        <f t="shared" si="1"/>
        <v>6.2384480763391643</v>
      </c>
      <c r="BI6" s="1">
        <f t="shared" si="1"/>
        <v>6.2384480763391643</v>
      </c>
      <c r="BJ6" s="1">
        <f t="shared" si="1"/>
        <v>0.89120686804845195</v>
      </c>
      <c r="BK6" s="1">
        <f t="shared" si="1"/>
        <v>0.89120686804845195</v>
      </c>
      <c r="BL6" s="1">
        <f t="shared" si="1"/>
        <v>0.89120686804845195</v>
      </c>
      <c r="BM6" s="1">
        <f t="shared" si="1"/>
        <v>1.7824137360969039</v>
      </c>
      <c r="BN6" s="1">
        <f t="shared" si="1"/>
        <v>2.9706895601615066</v>
      </c>
      <c r="BO6" s="1">
        <f t="shared" si="1"/>
        <v>2.2280171701211295</v>
      </c>
      <c r="BP6" s="1">
        <f t="shared" si="1"/>
        <v>3.1192240381695822</v>
      </c>
      <c r="BQ6" s="1">
        <f t="shared" si="1"/>
        <v>0.89120686804845195</v>
      </c>
      <c r="BR6" s="1"/>
      <c r="BS6" s="1"/>
      <c r="BT6" s="1"/>
      <c r="BU6" s="1"/>
      <c r="BV6" s="1"/>
      <c r="BW6" s="1"/>
      <c r="BX6" s="1"/>
      <c r="BY6" s="1"/>
    </row>
    <row r="7" spans="1:77" x14ac:dyDescent="0.2">
      <c r="A7" s="2">
        <v>5</v>
      </c>
      <c r="B7" s="2">
        <v>0</v>
      </c>
      <c r="C7" s="2">
        <v>1.4974539208613726</v>
      </c>
      <c r="D7" s="2">
        <v>1.3477085287752351</v>
      </c>
      <c r="E7" s="2">
        <v>1.7969447050336467</v>
      </c>
      <c r="F7" s="2">
        <v>0.89847235251682334</v>
      </c>
      <c r="G7" s="2">
        <v>0.89847235251682334</v>
      </c>
      <c r="H7" s="2">
        <v>2.9949078417227453</v>
      </c>
      <c r="I7" s="2">
        <v>2.9949078417227453</v>
      </c>
      <c r="J7" s="2">
        <v>0.89847235251682334</v>
      </c>
      <c r="K7" s="2">
        <v>0.89847235251682334</v>
      </c>
      <c r="L7" s="2">
        <v>0.67385426438761753</v>
      </c>
      <c r="M7" s="2">
        <v>0.89847235251682334</v>
      </c>
      <c r="N7" s="2">
        <v>0.89847235251682334</v>
      </c>
      <c r="O7" s="2">
        <v>1.7969447050336467</v>
      </c>
      <c r="P7" s="2">
        <v>0.89847235251682334</v>
      </c>
      <c r="Q7" s="2">
        <v>0.89847235251682334</v>
      </c>
      <c r="R7" s="2">
        <v>0.89847235251682334</v>
      </c>
      <c r="S7" s="2">
        <v>1.3477085287752351</v>
      </c>
      <c r="T7" s="2">
        <v>1.3477085287752351</v>
      </c>
      <c r="U7" s="2">
        <v>1.3477085287752351</v>
      </c>
      <c r="V7" s="2">
        <v>1.3477085287752351</v>
      </c>
      <c r="W7" s="2">
        <v>1.3477085287752351</v>
      </c>
      <c r="X7" s="2">
        <v>1.3477085287752351</v>
      </c>
      <c r="Y7" s="2">
        <v>6.2893064676177639</v>
      </c>
      <c r="Z7" s="2">
        <v>6.2893064676177639</v>
      </c>
      <c r="AA7" s="2">
        <v>0.89847235251682334</v>
      </c>
      <c r="AB7" s="2">
        <v>0.89847235251682334</v>
      </c>
      <c r="AC7" s="2">
        <v>0.89847235251682334</v>
      </c>
      <c r="AD7" s="2">
        <v>1.7969447050336467</v>
      </c>
      <c r="AE7" s="2">
        <v>2.9949078417227453</v>
      </c>
      <c r="AF7" s="2">
        <v>2.2461808812920583</v>
      </c>
      <c r="AG7" s="2">
        <v>3.144653233808882</v>
      </c>
      <c r="AH7" s="2">
        <v>0.89847235251682334</v>
      </c>
      <c r="AI7" s="1">
        <v>55.630413160000003</v>
      </c>
      <c r="AJ7">
        <f t="shared" si="2"/>
        <v>55.630413159999989</v>
      </c>
      <c r="AK7" s="1">
        <f t="shared" si="3"/>
        <v>0</v>
      </c>
      <c r="AL7" s="1">
        <f t="shared" si="1"/>
        <v>1.4974539208613726</v>
      </c>
      <c r="AM7" s="1">
        <f t="shared" si="1"/>
        <v>1.3477085287752351</v>
      </c>
      <c r="AN7" s="1">
        <f t="shared" si="1"/>
        <v>1.7969447050336467</v>
      </c>
      <c r="AO7" s="1">
        <f t="shared" si="1"/>
        <v>0.89847235251682334</v>
      </c>
      <c r="AP7" s="1">
        <f t="shared" si="1"/>
        <v>0.89847235251682334</v>
      </c>
      <c r="AQ7" s="1">
        <f t="shared" si="1"/>
        <v>2.9949078417227453</v>
      </c>
      <c r="AR7" s="1">
        <f t="shared" si="1"/>
        <v>2.9949078417227453</v>
      </c>
      <c r="AS7" s="1">
        <f t="shared" si="1"/>
        <v>0.89847235251682334</v>
      </c>
      <c r="AT7" s="1">
        <f t="shared" si="1"/>
        <v>0.89847235251682334</v>
      </c>
      <c r="AU7" s="1">
        <f t="shared" si="1"/>
        <v>0.67385426438761753</v>
      </c>
      <c r="AV7" s="1">
        <f t="shared" si="1"/>
        <v>0.89847235251682334</v>
      </c>
      <c r="AW7" s="1">
        <f t="shared" si="1"/>
        <v>0.89847235251682334</v>
      </c>
      <c r="AX7" s="1">
        <f t="shared" si="1"/>
        <v>1.7969447050336467</v>
      </c>
      <c r="AY7" s="1">
        <f t="shared" si="1"/>
        <v>0.89847235251682334</v>
      </c>
      <c r="AZ7" s="1">
        <f t="shared" si="1"/>
        <v>0.89847235251682334</v>
      </c>
      <c r="BA7" s="1">
        <f t="shared" si="1"/>
        <v>0.89847235251682334</v>
      </c>
      <c r="BB7" s="1">
        <f t="shared" si="1"/>
        <v>1.3477085287752351</v>
      </c>
      <c r="BC7" s="1">
        <f t="shared" si="1"/>
        <v>1.3477085287752351</v>
      </c>
      <c r="BD7" s="1">
        <f t="shared" si="1"/>
        <v>1.3477085287752351</v>
      </c>
      <c r="BE7" s="1">
        <f t="shared" si="1"/>
        <v>1.3477085287752351</v>
      </c>
      <c r="BF7" s="1">
        <f t="shared" si="1"/>
        <v>1.3477085287752351</v>
      </c>
      <c r="BG7" s="1">
        <f t="shared" si="1"/>
        <v>1.3477085287752351</v>
      </c>
      <c r="BH7" s="1">
        <f t="shared" si="1"/>
        <v>6.2893064676177639</v>
      </c>
      <c r="BI7" s="1">
        <f t="shared" si="1"/>
        <v>6.2893064676177639</v>
      </c>
      <c r="BJ7" s="1">
        <f t="shared" si="1"/>
        <v>0.89847235251682334</v>
      </c>
      <c r="BK7" s="1">
        <f t="shared" si="1"/>
        <v>0.89847235251682334</v>
      </c>
      <c r="BL7" s="1">
        <f t="shared" si="1"/>
        <v>0.89847235251682334</v>
      </c>
      <c r="BM7" s="1">
        <f t="shared" si="1"/>
        <v>1.7969447050336467</v>
      </c>
      <c r="BN7" s="1">
        <f t="shared" si="1"/>
        <v>2.9949078417227453</v>
      </c>
      <c r="BO7" s="1">
        <f t="shared" si="1"/>
        <v>2.2461808812920583</v>
      </c>
      <c r="BP7" s="1">
        <f t="shared" si="1"/>
        <v>3.144653233808882</v>
      </c>
      <c r="BQ7" s="1">
        <f t="shared" si="1"/>
        <v>0.89847235251682334</v>
      </c>
      <c r="BR7" s="1"/>
      <c r="BS7" s="1"/>
      <c r="BT7" s="1"/>
      <c r="BU7" s="1"/>
      <c r="BV7" s="1"/>
      <c r="BW7" s="1"/>
      <c r="BX7" s="1"/>
      <c r="BY7" s="1"/>
    </row>
    <row r="8" spans="1:77" x14ac:dyDescent="0.2">
      <c r="A8" s="2">
        <v>6</v>
      </c>
      <c r="B8" s="2">
        <v>0</v>
      </c>
      <c r="C8" s="2">
        <v>1.5254927337819646</v>
      </c>
      <c r="D8" s="2">
        <v>1.3729434604037678</v>
      </c>
      <c r="E8" s="2">
        <v>1.8305912805383571</v>
      </c>
      <c r="F8" s="2">
        <v>0.91529564026917853</v>
      </c>
      <c r="G8" s="2">
        <v>0.91529564026917853</v>
      </c>
      <c r="H8" s="2">
        <v>3.0509854675639292</v>
      </c>
      <c r="I8" s="2">
        <v>3.0509854675639292</v>
      </c>
      <c r="J8" s="2">
        <v>0.91529564026917853</v>
      </c>
      <c r="K8" s="2">
        <v>0.91529564026917853</v>
      </c>
      <c r="L8" s="2">
        <v>0.6864717302018839</v>
      </c>
      <c r="M8" s="2">
        <v>0.91529564026917853</v>
      </c>
      <c r="N8" s="2">
        <v>0.91529564026917853</v>
      </c>
      <c r="O8" s="2">
        <v>1.8305912805383571</v>
      </c>
      <c r="P8" s="2">
        <v>0.91529564026917853</v>
      </c>
      <c r="Q8" s="2">
        <v>0.91529564026917853</v>
      </c>
      <c r="R8" s="2">
        <v>0.91529564026917853</v>
      </c>
      <c r="S8" s="2">
        <v>1.3729434604037678</v>
      </c>
      <c r="T8" s="2">
        <v>1.3729434604037678</v>
      </c>
      <c r="U8" s="2">
        <v>1.3729434604037678</v>
      </c>
      <c r="V8" s="2">
        <v>1.3729434604037678</v>
      </c>
      <c r="W8" s="2">
        <v>1.3729434604037678</v>
      </c>
      <c r="X8" s="2">
        <v>1.3729434604037678</v>
      </c>
      <c r="Y8" s="2">
        <v>6.4070694818842506</v>
      </c>
      <c r="Z8" s="2">
        <v>6.4070694818842506</v>
      </c>
      <c r="AA8" s="2">
        <v>0.91529564026917853</v>
      </c>
      <c r="AB8" s="2">
        <v>0.91529564026917853</v>
      </c>
      <c r="AC8" s="2">
        <v>0.91529564026917853</v>
      </c>
      <c r="AD8" s="2">
        <v>1.8305912805383571</v>
      </c>
      <c r="AE8" s="2">
        <v>3.0509854675639292</v>
      </c>
      <c r="AF8" s="2">
        <v>2.2882391006729463</v>
      </c>
      <c r="AG8" s="2">
        <v>3.2035347409421253</v>
      </c>
      <c r="AH8" s="2">
        <v>0.91529564026917853</v>
      </c>
      <c r="AI8" s="1">
        <v>56.672055059999998</v>
      </c>
      <c r="AJ8">
        <f t="shared" si="2"/>
        <v>56.67205505999997</v>
      </c>
      <c r="AK8" s="1">
        <f t="shared" si="3"/>
        <v>0</v>
      </c>
      <c r="AL8" s="1">
        <f t="shared" si="1"/>
        <v>1.5254927337819646</v>
      </c>
      <c r="AM8" s="1">
        <f t="shared" si="1"/>
        <v>1.3729434604037678</v>
      </c>
      <c r="AN8" s="1">
        <f t="shared" si="1"/>
        <v>1.8305912805383571</v>
      </c>
      <c r="AO8" s="1">
        <f t="shared" si="1"/>
        <v>0.91529564026917853</v>
      </c>
      <c r="AP8" s="1">
        <f t="shared" si="1"/>
        <v>0.91529564026917853</v>
      </c>
      <c r="AQ8" s="1">
        <f t="shared" si="1"/>
        <v>3.0509854675639292</v>
      </c>
      <c r="AR8" s="1">
        <f t="shared" si="1"/>
        <v>3.0509854675639292</v>
      </c>
      <c r="AS8" s="1">
        <f t="shared" si="1"/>
        <v>0.91529564026917853</v>
      </c>
      <c r="AT8" s="1">
        <f t="shared" si="1"/>
        <v>0.91529564026917853</v>
      </c>
      <c r="AU8" s="1">
        <f t="shared" si="1"/>
        <v>0.6864717302018839</v>
      </c>
      <c r="AV8" s="1">
        <f t="shared" si="1"/>
        <v>0.91529564026917853</v>
      </c>
      <c r="AW8" s="1">
        <f t="shared" si="1"/>
        <v>0.91529564026917853</v>
      </c>
      <c r="AX8" s="1">
        <f t="shared" si="1"/>
        <v>1.8305912805383571</v>
      </c>
      <c r="AY8" s="1">
        <f t="shared" si="1"/>
        <v>0.91529564026917853</v>
      </c>
      <c r="AZ8" s="1">
        <f t="shared" si="1"/>
        <v>0.91529564026917853</v>
      </c>
      <c r="BA8" s="1">
        <f t="shared" si="1"/>
        <v>0.91529564026917853</v>
      </c>
      <c r="BB8" s="1">
        <f t="shared" si="1"/>
        <v>1.3729434604037678</v>
      </c>
      <c r="BC8" s="1">
        <f t="shared" si="1"/>
        <v>1.3729434604037678</v>
      </c>
      <c r="BD8" s="1">
        <f t="shared" si="1"/>
        <v>1.3729434604037678</v>
      </c>
      <c r="BE8" s="1">
        <f t="shared" si="1"/>
        <v>1.3729434604037678</v>
      </c>
      <c r="BF8" s="1">
        <f t="shared" si="1"/>
        <v>1.3729434604037678</v>
      </c>
      <c r="BG8" s="1">
        <f t="shared" si="1"/>
        <v>1.3729434604037678</v>
      </c>
      <c r="BH8" s="1">
        <f t="shared" si="1"/>
        <v>6.4070694818842506</v>
      </c>
      <c r="BI8" s="1">
        <f t="shared" si="1"/>
        <v>6.4070694818842506</v>
      </c>
      <c r="BJ8" s="1">
        <f t="shared" si="1"/>
        <v>0.91529564026917853</v>
      </c>
      <c r="BK8" s="1">
        <f t="shared" si="1"/>
        <v>0.91529564026917853</v>
      </c>
      <c r="BL8" s="1">
        <f t="shared" si="1"/>
        <v>0.91529564026917853</v>
      </c>
      <c r="BM8" s="1">
        <f t="shared" si="1"/>
        <v>1.8305912805383571</v>
      </c>
      <c r="BN8" s="1">
        <f t="shared" si="1"/>
        <v>3.0509854675639292</v>
      </c>
      <c r="BO8" s="1">
        <f t="shared" si="1"/>
        <v>2.2882391006729463</v>
      </c>
      <c r="BP8" s="1">
        <f t="shared" si="1"/>
        <v>3.2035347409421253</v>
      </c>
      <c r="BQ8" s="1">
        <f t="shared" si="1"/>
        <v>0.91529564026917853</v>
      </c>
      <c r="BR8" s="1"/>
      <c r="BS8" s="1"/>
      <c r="BT8" s="1"/>
      <c r="BU8" s="1"/>
      <c r="BV8" s="1"/>
      <c r="BW8" s="1"/>
      <c r="BX8" s="1"/>
      <c r="BY8" s="1"/>
    </row>
    <row r="9" spans="1:77" x14ac:dyDescent="0.2">
      <c r="A9" s="2">
        <v>7</v>
      </c>
      <c r="B9" s="2">
        <v>0</v>
      </c>
      <c r="C9" s="2">
        <v>1.6105157388963656</v>
      </c>
      <c r="D9" s="2">
        <v>1.4494641650067288</v>
      </c>
      <c r="E9" s="2">
        <v>1.9326188866756384</v>
      </c>
      <c r="F9" s="2">
        <v>0.96630944333781921</v>
      </c>
      <c r="G9" s="2">
        <v>0.96630944333781921</v>
      </c>
      <c r="H9" s="2">
        <v>3.2210314777927311</v>
      </c>
      <c r="I9" s="2">
        <v>3.2210314777927311</v>
      </c>
      <c r="J9" s="2">
        <v>0.96630944333781921</v>
      </c>
      <c r="K9" s="2">
        <v>0.96630944333781921</v>
      </c>
      <c r="L9" s="2">
        <v>0.72473208250336441</v>
      </c>
      <c r="M9" s="2">
        <v>0.96630944333781921</v>
      </c>
      <c r="N9" s="2">
        <v>0.96630944333781921</v>
      </c>
      <c r="O9" s="2">
        <v>1.9326188866756384</v>
      </c>
      <c r="P9" s="2">
        <v>0.96630944333781921</v>
      </c>
      <c r="Q9" s="2">
        <v>0.96630944333781921</v>
      </c>
      <c r="R9" s="2">
        <v>0.96630944333781921</v>
      </c>
      <c r="S9" s="2">
        <v>1.4494641650067288</v>
      </c>
      <c r="T9" s="2">
        <v>1.4494641650067288</v>
      </c>
      <c r="U9" s="2">
        <v>1.4494641650067288</v>
      </c>
      <c r="V9" s="2">
        <v>1.4494641650067288</v>
      </c>
      <c r="W9" s="2">
        <v>1.4494641650067288</v>
      </c>
      <c r="X9" s="2">
        <v>1.4494641650067288</v>
      </c>
      <c r="Y9" s="2">
        <v>6.7641661033647349</v>
      </c>
      <c r="Z9" s="2">
        <v>6.7641661033647349</v>
      </c>
      <c r="AA9" s="2">
        <v>0.96630944333781921</v>
      </c>
      <c r="AB9" s="2">
        <v>0.96630944333781921</v>
      </c>
      <c r="AC9" s="2">
        <v>0.96630944333781921</v>
      </c>
      <c r="AD9" s="2">
        <v>1.9326188866756384</v>
      </c>
      <c r="AE9" s="2">
        <v>3.2210314777927311</v>
      </c>
      <c r="AF9" s="2">
        <v>2.4157736083445482</v>
      </c>
      <c r="AG9" s="2">
        <v>3.3820830516823674</v>
      </c>
      <c r="AH9" s="2">
        <v>0.96630944333781921</v>
      </c>
      <c r="AI9" s="1">
        <v>59.830659699999998</v>
      </c>
      <c r="AJ9">
        <f t="shared" si="2"/>
        <v>59.830659699999977</v>
      </c>
      <c r="AK9" s="1">
        <f t="shared" si="3"/>
        <v>0</v>
      </c>
      <c r="AL9" s="1">
        <f t="shared" si="1"/>
        <v>1.6105157388963656</v>
      </c>
      <c r="AM9" s="1">
        <f t="shared" si="1"/>
        <v>1.4494641650067288</v>
      </c>
      <c r="AN9" s="1">
        <f t="shared" si="1"/>
        <v>1.9326188866756384</v>
      </c>
      <c r="AO9" s="1">
        <f t="shared" si="1"/>
        <v>0.96630944333781921</v>
      </c>
      <c r="AP9" s="1">
        <f t="shared" si="1"/>
        <v>0.96630944333781921</v>
      </c>
      <c r="AQ9" s="1">
        <f t="shared" si="1"/>
        <v>3.2210314777927311</v>
      </c>
      <c r="AR9" s="1">
        <f t="shared" si="1"/>
        <v>3.2210314777927311</v>
      </c>
      <c r="AS9" s="1">
        <f t="shared" si="1"/>
        <v>0.96630944333781921</v>
      </c>
      <c r="AT9" s="1">
        <f t="shared" si="1"/>
        <v>0.96630944333781921</v>
      </c>
      <c r="AU9" s="1">
        <f t="shared" si="1"/>
        <v>0.72473208250336441</v>
      </c>
      <c r="AV9" s="1">
        <f t="shared" si="1"/>
        <v>0.96630944333781921</v>
      </c>
      <c r="AW9" s="1">
        <f t="shared" si="1"/>
        <v>0.96630944333781921</v>
      </c>
      <c r="AX9" s="1">
        <f t="shared" si="1"/>
        <v>1.9326188866756384</v>
      </c>
      <c r="AY9" s="1">
        <f t="shared" si="1"/>
        <v>0.96630944333781921</v>
      </c>
      <c r="AZ9" s="1">
        <f t="shared" si="1"/>
        <v>0.96630944333781921</v>
      </c>
      <c r="BA9" s="1">
        <f t="shared" si="1"/>
        <v>0.96630944333781921</v>
      </c>
      <c r="BB9" s="1">
        <f t="shared" si="1"/>
        <v>1.4494641650067288</v>
      </c>
      <c r="BC9" s="1">
        <f t="shared" si="1"/>
        <v>1.4494641650067288</v>
      </c>
      <c r="BD9" s="1">
        <f t="shared" si="1"/>
        <v>1.4494641650067288</v>
      </c>
      <c r="BE9" s="1">
        <f t="shared" si="1"/>
        <v>1.4494641650067288</v>
      </c>
      <c r="BF9" s="1">
        <f t="shared" si="1"/>
        <v>1.4494641650067288</v>
      </c>
      <c r="BG9" s="1">
        <f t="shared" si="1"/>
        <v>1.4494641650067288</v>
      </c>
      <c r="BH9" s="1">
        <f t="shared" si="1"/>
        <v>6.7641661033647349</v>
      </c>
      <c r="BI9" s="1">
        <f t="shared" si="1"/>
        <v>6.7641661033647349</v>
      </c>
      <c r="BJ9" s="1">
        <f t="shared" si="1"/>
        <v>0.96630944333781921</v>
      </c>
      <c r="BK9" s="1">
        <f t="shared" si="1"/>
        <v>0.96630944333781921</v>
      </c>
      <c r="BL9" s="1">
        <f t="shared" si="1"/>
        <v>0.96630944333781921</v>
      </c>
      <c r="BM9" s="1">
        <f t="shared" si="1"/>
        <v>1.9326188866756384</v>
      </c>
      <c r="BN9" s="1">
        <f t="shared" si="1"/>
        <v>3.2210314777927311</v>
      </c>
      <c r="BO9" s="1">
        <f t="shared" si="1"/>
        <v>2.4157736083445482</v>
      </c>
      <c r="BP9" s="1">
        <f t="shared" si="1"/>
        <v>3.3820830516823674</v>
      </c>
      <c r="BQ9" s="1">
        <f t="shared" si="1"/>
        <v>0.96630944333781921</v>
      </c>
      <c r="BR9" s="1"/>
      <c r="BS9" s="1"/>
      <c r="BT9" s="1"/>
      <c r="BU9" s="1"/>
      <c r="BV9" s="1"/>
      <c r="BW9" s="1"/>
      <c r="BX9" s="1"/>
      <c r="BY9" s="1"/>
    </row>
    <row r="10" spans="1:77" x14ac:dyDescent="0.2">
      <c r="A10" s="2">
        <v>8</v>
      </c>
      <c r="B10" s="2">
        <v>0</v>
      </c>
      <c r="C10" s="2">
        <v>1.6597941146702553</v>
      </c>
      <c r="D10" s="2">
        <v>1.4938147032032294</v>
      </c>
      <c r="E10" s="2">
        <v>1.9917529376043059</v>
      </c>
      <c r="F10" s="2">
        <v>0.99587646880215297</v>
      </c>
      <c r="G10" s="2">
        <v>0.99587646880215297</v>
      </c>
      <c r="H10" s="2">
        <v>3.3195882293405106</v>
      </c>
      <c r="I10" s="2">
        <v>3.3195882293405106</v>
      </c>
      <c r="J10" s="2">
        <v>0.99587646880215297</v>
      </c>
      <c r="K10" s="2">
        <v>0.99587646880215297</v>
      </c>
      <c r="L10" s="2">
        <v>0.7469073516016147</v>
      </c>
      <c r="M10" s="2">
        <v>0.99587646880215297</v>
      </c>
      <c r="N10" s="2">
        <v>0.99587646880215297</v>
      </c>
      <c r="O10" s="2">
        <v>1.9917529376043059</v>
      </c>
      <c r="P10" s="2">
        <v>0.99587646880215297</v>
      </c>
      <c r="Q10" s="2">
        <v>0.99587646880215297</v>
      </c>
      <c r="R10" s="2">
        <v>0.99587646880215297</v>
      </c>
      <c r="S10" s="2">
        <v>1.4938147032032294</v>
      </c>
      <c r="T10" s="2">
        <v>1.4938147032032294</v>
      </c>
      <c r="U10" s="2">
        <v>1.4938147032032294</v>
      </c>
      <c r="V10" s="2">
        <v>1.4938147032032294</v>
      </c>
      <c r="W10" s="2">
        <v>1.4938147032032294</v>
      </c>
      <c r="X10" s="2">
        <v>1.4938147032032294</v>
      </c>
      <c r="Y10" s="2">
        <v>6.971135281615072</v>
      </c>
      <c r="Z10" s="2">
        <v>6.971135281615072</v>
      </c>
      <c r="AA10" s="2">
        <v>0.99587646880215297</v>
      </c>
      <c r="AB10" s="2">
        <v>0.99587646880215297</v>
      </c>
      <c r="AC10" s="2">
        <v>0.99587646880215297</v>
      </c>
      <c r="AD10" s="2">
        <v>1.9917529376043059</v>
      </c>
      <c r="AE10" s="2">
        <v>3.3195882293405106</v>
      </c>
      <c r="AF10" s="2">
        <v>2.4896911720053825</v>
      </c>
      <c r="AG10" s="2">
        <v>3.485567640807536</v>
      </c>
      <c r="AH10" s="2">
        <v>0.99587646880215297</v>
      </c>
      <c r="AI10" s="1">
        <v>61.661351359999998</v>
      </c>
      <c r="AJ10">
        <f t="shared" si="2"/>
        <v>61.661351359999948</v>
      </c>
      <c r="AK10" s="1">
        <f t="shared" si="3"/>
        <v>0</v>
      </c>
      <c r="AL10" s="1">
        <f t="shared" si="1"/>
        <v>1.6597941146702553</v>
      </c>
      <c r="AM10" s="1">
        <f t="shared" si="1"/>
        <v>1.4938147032032294</v>
      </c>
      <c r="AN10" s="1">
        <f t="shared" si="1"/>
        <v>1.9917529376043059</v>
      </c>
      <c r="AO10" s="1">
        <f t="shared" si="1"/>
        <v>0.99587646880215297</v>
      </c>
      <c r="AP10" s="1">
        <f t="shared" si="1"/>
        <v>0.99587646880215297</v>
      </c>
      <c r="AQ10" s="1">
        <f t="shared" si="1"/>
        <v>3.3195882293405106</v>
      </c>
      <c r="AR10" s="1">
        <f t="shared" si="1"/>
        <v>3.3195882293405106</v>
      </c>
      <c r="AS10" s="1">
        <f t="shared" si="1"/>
        <v>0.99587646880215297</v>
      </c>
      <c r="AT10" s="1">
        <f t="shared" si="1"/>
        <v>0.99587646880215297</v>
      </c>
      <c r="AU10" s="1">
        <f t="shared" si="1"/>
        <v>0.7469073516016147</v>
      </c>
      <c r="AV10" s="1">
        <f t="shared" si="1"/>
        <v>0.99587646880215297</v>
      </c>
      <c r="AW10" s="1">
        <f t="shared" si="1"/>
        <v>0.99587646880215297</v>
      </c>
      <c r="AX10" s="1">
        <f t="shared" si="1"/>
        <v>1.9917529376043059</v>
      </c>
      <c r="AY10" s="1">
        <f t="shared" si="1"/>
        <v>0.99587646880215297</v>
      </c>
      <c r="AZ10" s="1">
        <f t="shared" si="1"/>
        <v>0.99587646880215297</v>
      </c>
      <c r="BA10" s="1">
        <f t="shared" si="1"/>
        <v>0.99587646880215297</v>
      </c>
      <c r="BB10" s="1">
        <f t="shared" si="1"/>
        <v>1.4938147032032294</v>
      </c>
      <c r="BC10" s="1">
        <f t="shared" si="1"/>
        <v>1.4938147032032294</v>
      </c>
      <c r="BD10" s="1">
        <f t="shared" si="1"/>
        <v>1.4938147032032294</v>
      </c>
      <c r="BE10" s="1">
        <f t="shared" si="1"/>
        <v>1.4938147032032294</v>
      </c>
      <c r="BF10" s="1">
        <f t="shared" si="1"/>
        <v>1.4938147032032294</v>
      </c>
      <c r="BG10" s="1">
        <f t="shared" si="1"/>
        <v>1.4938147032032294</v>
      </c>
      <c r="BH10" s="1">
        <f t="shared" si="1"/>
        <v>6.971135281615072</v>
      </c>
      <c r="BI10" s="1">
        <f t="shared" si="1"/>
        <v>6.971135281615072</v>
      </c>
      <c r="BJ10" s="1">
        <f t="shared" si="1"/>
        <v>0.99587646880215297</v>
      </c>
      <c r="BK10" s="1">
        <f t="shared" si="1"/>
        <v>0.99587646880215297</v>
      </c>
      <c r="BL10" s="1">
        <f t="shared" si="1"/>
        <v>0.99587646880215297</v>
      </c>
      <c r="BM10" s="1">
        <f t="shared" si="1"/>
        <v>1.9917529376043059</v>
      </c>
      <c r="BN10" s="1">
        <f t="shared" si="1"/>
        <v>3.3195882293405106</v>
      </c>
      <c r="BO10" s="1">
        <f t="shared" si="1"/>
        <v>2.4896911720053825</v>
      </c>
      <c r="BP10" s="1">
        <f t="shared" si="1"/>
        <v>3.485567640807536</v>
      </c>
      <c r="BQ10" s="1">
        <f t="shared" ref="AL10:BQ18" si="4">$AI10*BQ$2</f>
        <v>0.99587646880215297</v>
      </c>
      <c r="BR10" s="1"/>
      <c r="BS10" s="1"/>
      <c r="BT10" s="1"/>
      <c r="BU10" s="1"/>
      <c r="BV10" s="1"/>
      <c r="BW10" s="1"/>
      <c r="BX10" s="1"/>
      <c r="BY10" s="1"/>
    </row>
    <row r="11" spans="1:77" x14ac:dyDescent="0.2">
      <c r="A11" s="2">
        <v>9</v>
      </c>
      <c r="B11" s="2">
        <v>0</v>
      </c>
      <c r="C11" s="2">
        <v>1.7797846923283978</v>
      </c>
      <c r="D11" s="2">
        <v>1.6018062230955579</v>
      </c>
      <c r="E11" s="2">
        <v>2.1357416307940769</v>
      </c>
      <c r="F11" s="2">
        <v>1.0678708153970384</v>
      </c>
      <c r="G11" s="2">
        <v>1.0678708153970384</v>
      </c>
      <c r="H11" s="2">
        <v>3.5595693846567955</v>
      </c>
      <c r="I11" s="2">
        <v>3.5595693846567955</v>
      </c>
      <c r="J11" s="2">
        <v>1.0678708153970384</v>
      </c>
      <c r="K11" s="2">
        <v>1.0678708153970384</v>
      </c>
      <c r="L11" s="2">
        <v>0.80090311154777893</v>
      </c>
      <c r="M11" s="2">
        <v>1.0678708153970384</v>
      </c>
      <c r="N11" s="2">
        <v>1.0678708153970384</v>
      </c>
      <c r="O11" s="2">
        <v>2.1357416307940769</v>
      </c>
      <c r="P11" s="2">
        <v>1.0678708153970384</v>
      </c>
      <c r="Q11" s="2">
        <v>1.0678708153970384</v>
      </c>
      <c r="R11" s="2">
        <v>1.0678708153970384</v>
      </c>
      <c r="S11" s="2">
        <v>1.6018062230955579</v>
      </c>
      <c r="T11" s="2">
        <v>1.6018062230955579</v>
      </c>
      <c r="U11" s="2">
        <v>1.6018062230955579</v>
      </c>
      <c r="V11" s="2">
        <v>1.6018062230955579</v>
      </c>
      <c r="W11" s="2">
        <v>1.6018062230955579</v>
      </c>
      <c r="X11" s="2">
        <v>1.6018062230955579</v>
      </c>
      <c r="Y11" s="2">
        <v>7.4750957077792703</v>
      </c>
      <c r="Z11" s="2">
        <v>7.4750957077792703</v>
      </c>
      <c r="AA11" s="2">
        <v>1.0678708153970384</v>
      </c>
      <c r="AB11" s="2">
        <v>1.0678708153970384</v>
      </c>
      <c r="AC11" s="2">
        <v>1.0678708153970384</v>
      </c>
      <c r="AD11" s="2">
        <v>2.1357416307940769</v>
      </c>
      <c r="AE11" s="2">
        <v>3.5595693846567955</v>
      </c>
      <c r="AF11" s="2">
        <v>2.6696770384925963</v>
      </c>
      <c r="AG11" s="2">
        <v>3.7375478538896352</v>
      </c>
      <c r="AH11" s="2">
        <v>1.0678708153970384</v>
      </c>
      <c r="AI11" s="1">
        <v>66.119001319999995</v>
      </c>
      <c r="AJ11">
        <f t="shared" si="2"/>
        <v>66.119001319999967</v>
      </c>
      <c r="AK11" s="1">
        <f t="shared" si="3"/>
        <v>0</v>
      </c>
      <c r="AL11" s="1">
        <f t="shared" si="4"/>
        <v>1.7797846923283978</v>
      </c>
      <c r="AM11" s="1">
        <f t="shared" si="4"/>
        <v>1.6018062230955579</v>
      </c>
      <c r="AN11" s="1">
        <f t="shared" si="4"/>
        <v>2.1357416307940769</v>
      </c>
      <c r="AO11" s="1">
        <f t="shared" si="4"/>
        <v>1.0678708153970384</v>
      </c>
      <c r="AP11" s="1">
        <f t="shared" si="4"/>
        <v>1.0678708153970384</v>
      </c>
      <c r="AQ11" s="1">
        <f t="shared" si="4"/>
        <v>3.5595693846567955</v>
      </c>
      <c r="AR11" s="1">
        <f t="shared" si="4"/>
        <v>3.5595693846567955</v>
      </c>
      <c r="AS11" s="1">
        <f t="shared" si="4"/>
        <v>1.0678708153970384</v>
      </c>
      <c r="AT11" s="1">
        <f t="shared" si="4"/>
        <v>1.0678708153970384</v>
      </c>
      <c r="AU11" s="1">
        <f t="shared" si="4"/>
        <v>0.80090311154777893</v>
      </c>
      <c r="AV11" s="1">
        <f t="shared" si="4"/>
        <v>1.0678708153970384</v>
      </c>
      <c r="AW11" s="1">
        <f t="shared" si="4"/>
        <v>1.0678708153970384</v>
      </c>
      <c r="AX11" s="1">
        <f t="shared" si="4"/>
        <v>2.1357416307940769</v>
      </c>
      <c r="AY11" s="1">
        <f t="shared" si="4"/>
        <v>1.0678708153970384</v>
      </c>
      <c r="AZ11" s="1">
        <f t="shared" si="4"/>
        <v>1.0678708153970384</v>
      </c>
      <c r="BA11" s="1">
        <f t="shared" si="4"/>
        <v>1.0678708153970384</v>
      </c>
      <c r="BB11" s="1">
        <f t="shared" si="4"/>
        <v>1.6018062230955579</v>
      </c>
      <c r="BC11" s="1">
        <f t="shared" si="4"/>
        <v>1.6018062230955579</v>
      </c>
      <c r="BD11" s="1">
        <f t="shared" si="4"/>
        <v>1.6018062230955579</v>
      </c>
      <c r="BE11" s="1">
        <f t="shared" si="4"/>
        <v>1.6018062230955579</v>
      </c>
      <c r="BF11" s="1">
        <f t="shared" si="4"/>
        <v>1.6018062230955579</v>
      </c>
      <c r="BG11" s="1">
        <f t="shared" si="4"/>
        <v>1.6018062230955579</v>
      </c>
      <c r="BH11" s="1">
        <f t="shared" si="4"/>
        <v>7.4750957077792703</v>
      </c>
      <c r="BI11" s="1">
        <f t="shared" si="4"/>
        <v>7.4750957077792703</v>
      </c>
      <c r="BJ11" s="1">
        <f t="shared" si="4"/>
        <v>1.0678708153970384</v>
      </c>
      <c r="BK11" s="1">
        <f t="shared" si="4"/>
        <v>1.0678708153970384</v>
      </c>
      <c r="BL11" s="1">
        <f t="shared" si="4"/>
        <v>1.0678708153970384</v>
      </c>
      <c r="BM11" s="1">
        <f t="shared" si="4"/>
        <v>2.1357416307940769</v>
      </c>
      <c r="BN11" s="1">
        <f t="shared" si="4"/>
        <v>3.5595693846567955</v>
      </c>
      <c r="BO11" s="1">
        <f t="shared" si="4"/>
        <v>2.6696770384925963</v>
      </c>
      <c r="BP11" s="1">
        <f t="shared" si="4"/>
        <v>3.7375478538896352</v>
      </c>
      <c r="BQ11" s="1">
        <f t="shared" si="4"/>
        <v>1.0678708153970384</v>
      </c>
      <c r="BR11" s="1"/>
      <c r="BS11" s="1"/>
      <c r="BT11" s="1"/>
      <c r="BU11" s="1"/>
      <c r="BV11" s="1"/>
      <c r="BW11" s="1"/>
      <c r="BX11" s="1"/>
      <c r="BY11" s="1"/>
    </row>
    <row r="12" spans="1:77" x14ac:dyDescent="0.2">
      <c r="A12" s="2">
        <v>10</v>
      </c>
      <c r="B12" s="2">
        <v>0</v>
      </c>
      <c r="C12" s="2">
        <v>1.8323008064602955</v>
      </c>
      <c r="D12" s="2">
        <v>1.6490707258142656</v>
      </c>
      <c r="E12" s="2">
        <v>2.1987609677523543</v>
      </c>
      <c r="F12" s="2">
        <v>1.0993804838761772</v>
      </c>
      <c r="G12" s="2">
        <v>1.0993804838761772</v>
      </c>
      <c r="H12" s="2">
        <v>3.6646016129205909</v>
      </c>
      <c r="I12" s="2">
        <v>3.6646016129205909</v>
      </c>
      <c r="J12" s="2">
        <v>1.0993804838761772</v>
      </c>
      <c r="K12" s="2">
        <v>1.0993804838761772</v>
      </c>
      <c r="L12" s="2">
        <v>0.82453536290713281</v>
      </c>
      <c r="M12" s="2">
        <v>1.0993804838761772</v>
      </c>
      <c r="N12" s="2">
        <v>1.0993804838761772</v>
      </c>
      <c r="O12" s="2">
        <v>2.1987609677523543</v>
      </c>
      <c r="P12" s="2">
        <v>1.0993804838761772</v>
      </c>
      <c r="Q12" s="2">
        <v>1.0993804838761772</v>
      </c>
      <c r="R12" s="2">
        <v>1.0993804838761772</v>
      </c>
      <c r="S12" s="2">
        <v>1.6490707258142656</v>
      </c>
      <c r="T12" s="2">
        <v>1.6490707258142656</v>
      </c>
      <c r="U12" s="2">
        <v>1.6490707258142656</v>
      </c>
      <c r="V12" s="2">
        <v>1.6490707258142656</v>
      </c>
      <c r="W12" s="2">
        <v>1.6490707258142656</v>
      </c>
      <c r="X12" s="2">
        <v>1.6490707258142656</v>
      </c>
      <c r="Y12" s="2">
        <v>7.6956633871332407</v>
      </c>
      <c r="Z12" s="2">
        <v>7.6956633871332407</v>
      </c>
      <c r="AA12" s="2">
        <v>1.0993804838761772</v>
      </c>
      <c r="AB12" s="2">
        <v>1.0993804838761772</v>
      </c>
      <c r="AC12" s="2">
        <v>1.0993804838761772</v>
      </c>
      <c r="AD12" s="2">
        <v>2.1987609677523543</v>
      </c>
      <c r="AE12" s="2">
        <v>3.6646016129205909</v>
      </c>
      <c r="AF12" s="2">
        <v>2.748451209690443</v>
      </c>
      <c r="AG12" s="2">
        <v>3.8478316935666204</v>
      </c>
      <c r="AH12" s="2">
        <v>1.0993804838761772</v>
      </c>
      <c r="AI12" s="1">
        <v>68.069974959999996</v>
      </c>
      <c r="AJ12">
        <f t="shared" si="2"/>
        <v>68.069974959999968</v>
      </c>
      <c r="AK12" s="1">
        <f t="shared" si="3"/>
        <v>0</v>
      </c>
      <c r="AL12" s="1">
        <f t="shared" si="4"/>
        <v>1.8323008064602955</v>
      </c>
      <c r="AM12" s="1">
        <f t="shared" si="4"/>
        <v>1.6490707258142656</v>
      </c>
      <c r="AN12" s="1">
        <f t="shared" si="4"/>
        <v>2.1987609677523543</v>
      </c>
      <c r="AO12" s="1">
        <f t="shared" si="4"/>
        <v>1.0993804838761772</v>
      </c>
      <c r="AP12" s="1">
        <f t="shared" si="4"/>
        <v>1.0993804838761772</v>
      </c>
      <c r="AQ12" s="1">
        <f t="shared" si="4"/>
        <v>3.6646016129205909</v>
      </c>
      <c r="AR12" s="1">
        <f t="shared" si="4"/>
        <v>3.6646016129205909</v>
      </c>
      <c r="AS12" s="1">
        <f t="shared" si="4"/>
        <v>1.0993804838761772</v>
      </c>
      <c r="AT12" s="1">
        <f t="shared" si="4"/>
        <v>1.0993804838761772</v>
      </c>
      <c r="AU12" s="1">
        <f t="shared" si="4"/>
        <v>0.82453536290713281</v>
      </c>
      <c r="AV12" s="1">
        <f t="shared" si="4"/>
        <v>1.0993804838761772</v>
      </c>
      <c r="AW12" s="1">
        <f t="shared" si="4"/>
        <v>1.0993804838761772</v>
      </c>
      <c r="AX12" s="1">
        <f t="shared" si="4"/>
        <v>2.1987609677523543</v>
      </c>
      <c r="AY12" s="1">
        <f t="shared" si="4"/>
        <v>1.0993804838761772</v>
      </c>
      <c r="AZ12" s="1">
        <f t="shared" si="4"/>
        <v>1.0993804838761772</v>
      </c>
      <c r="BA12" s="1">
        <f t="shared" si="4"/>
        <v>1.0993804838761772</v>
      </c>
      <c r="BB12" s="1">
        <f t="shared" si="4"/>
        <v>1.6490707258142656</v>
      </c>
      <c r="BC12" s="1">
        <f t="shared" si="4"/>
        <v>1.6490707258142656</v>
      </c>
      <c r="BD12" s="1">
        <f t="shared" si="4"/>
        <v>1.6490707258142656</v>
      </c>
      <c r="BE12" s="1">
        <f t="shared" si="4"/>
        <v>1.6490707258142656</v>
      </c>
      <c r="BF12" s="1">
        <f t="shared" si="4"/>
        <v>1.6490707258142656</v>
      </c>
      <c r="BG12" s="1">
        <f t="shared" si="4"/>
        <v>1.6490707258142656</v>
      </c>
      <c r="BH12" s="1">
        <f t="shared" si="4"/>
        <v>7.6956633871332407</v>
      </c>
      <c r="BI12" s="1">
        <f t="shared" si="4"/>
        <v>7.6956633871332407</v>
      </c>
      <c r="BJ12" s="1">
        <f t="shared" si="4"/>
        <v>1.0993804838761772</v>
      </c>
      <c r="BK12" s="1">
        <f t="shared" si="4"/>
        <v>1.0993804838761772</v>
      </c>
      <c r="BL12" s="1">
        <f t="shared" si="4"/>
        <v>1.0993804838761772</v>
      </c>
      <c r="BM12" s="1">
        <f t="shared" si="4"/>
        <v>2.1987609677523543</v>
      </c>
      <c r="BN12" s="1">
        <f t="shared" si="4"/>
        <v>3.6646016129205909</v>
      </c>
      <c r="BO12" s="1">
        <f t="shared" si="4"/>
        <v>2.748451209690443</v>
      </c>
      <c r="BP12" s="1">
        <f t="shared" si="4"/>
        <v>3.8478316935666204</v>
      </c>
      <c r="BQ12" s="1">
        <f t="shared" si="4"/>
        <v>1.0993804838761772</v>
      </c>
      <c r="BR12" s="1"/>
      <c r="BS12" s="1"/>
      <c r="BT12" s="1"/>
      <c r="BU12" s="1"/>
      <c r="BV12" s="1"/>
      <c r="BW12" s="1"/>
      <c r="BX12" s="1"/>
      <c r="BY12" s="1"/>
    </row>
    <row r="13" spans="1:77" x14ac:dyDescent="0.2">
      <c r="A13" s="2">
        <v>11</v>
      </c>
      <c r="B13" s="2">
        <v>0</v>
      </c>
      <c r="C13" s="2">
        <v>1.861569959623149</v>
      </c>
      <c r="D13" s="2">
        <v>1.6754129636608339</v>
      </c>
      <c r="E13" s="2">
        <v>2.2338839515477784</v>
      </c>
      <c r="F13" s="2">
        <v>1.1169419757738892</v>
      </c>
      <c r="G13" s="2">
        <v>1.1169419757738892</v>
      </c>
      <c r="H13" s="2">
        <v>3.7231399192462979</v>
      </c>
      <c r="I13" s="2">
        <v>3.7231399192462979</v>
      </c>
      <c r="J13" s="2">
        <v>1.1169419757738892</v>
      </c>
      <c r="K13" s="2">
        <v>1.1169419757738892</v>
      </c>
      <c r="L13" s="2">
        <v>0.83770648183041696</v>
      </c>
      <c r="M13" s="2">
        <v>1.1169419757738892</v>
      </c>
      <c r="N13" s="2">
        <v>1.1169419757738892</v>
      </c>
      <c r="O13" s="2">
        <v>2.2338839515477784</v>
      </c>
      <c r="P13" s="2">
        <v>1.1169419757738892</v>
      </c>
      <c r="Q13" s="2">
        <v>1.1169419757738892</v>
      </c>
      <c r="R13" s="2">
        <v>1.1169419757738892</v>
      </c>
      <c r="S13" s="2">
        <v>1.6754129636608339</v>
      </c>
      <c r="T13" s="2">
        <v>1.6754129636608339</v>
      </c>
      <c r="U13" s="2">
        <v>1.6754129636608339</v>
      </c>
      <c r="V13" s="2">
        <v>1.6754129636608339</v>
      </c>
      <c r="W13" s="2">
        <v>1.6754129636608339</v>
      </c>
      <c r="X13" s="2">
        <v>1.6754129636608339</v>
      </c>
      <c r="Y13" s="2">
        <v>7.8185938304172256</v>
      </c>
      <c r="Z13" s="2">
        <v>7.8185938304172256</v>
      </c>
      <c r="AA13" s="2">
        <v>1.1169419757738892</v>
      </c>
      <c r="AB13" s="2">
        <v>1.1169419757738892</v>
      </c>
      <c r="AC13" s="2">
        <v>1.1169419757738892</v>
      </c>
      <c r="AD13" s="2">
        <v>2.2338839515477784</v>
      </c>
      <c r="AE13" s="2">
        <v>3.7231399192462979</v>
      </c>
      <c r="AF13" s="2">
        <v>2.7923549394347229</v>
      </c>
      <c r="AG13" s="2">
        <v>3.9092969152086128</v>
      </c>
      <c r="AH13" s="2">
        <v>1.1169419757738892</v>
      </c>
      <c r="AI13" s="1">
        <v>69.157324000000003</v>
      </c>
      <c r="AJ13">
        <f t="shared" si="2"/>
        <v>69.157323999999988</v>
      </c>
      <c r="AK13" s="1">
        <f t="shared" si="3"/>
        <v>0</v>
      </c>
      <c r="AL13" s="1">
        <f t="shared" si="4"/>
        <v>1.861569959623149</v>
      </c>
      <c r="AM13" s="1">
        <f t="shared" si="4"/>
        <v>1.6754129636608339</v>
      </c>
      <c r="AN13" s="1">
        <f t="shared" si="4"/>
        <v>2.2338839515477784</v>
      </c>
      <c r="AO13" s="1">
        <f t="shared" si="4"/>
        <v>1.1169419757738892</v>
      </c>
      <c r="AP13" s="1">
        <f t="shared" si="4"/>
        <v>1.1169419757738892</v>
      </c>
      <c r="AQ13" s="1">
        <f t="shared" si="4"/>
        <v>3.7231399192462979</v>
      </c>
      <c r="AR13" s="1">
        <f t="shared" si="4"/>
        <v>3.7231399192462979</v>
      </c>
      <c r="AS13" s="1">
        <f t="shared" si="4"/>
        <v>1.1169419757738892</v>
      </c>
      <c r="AT13" s="1">
        <f t="shared" si="4"/>
        <v>1.1169419757738892</v>
      </c>
      <c r="AU13" s="1">
        <f t="shared" si="4"/>
        <v>0.83770648183041696</v>
      </c>
      <c r="AV13" s="1">
        <f t="shared" si="4"/>
        <v>1.1169419757738892</v>
      </c>
      <c r="AW13" s="1">
        <f t="shared" si="4"/>
        <v>1.1169419757738892</v>
      </c>
      <c r="AX13" s="1">
        <f t="shared" si="4"/>
        <v>2.2338839515477784</v>
      </c>
      <c r="AY13" s="1">
        <f t="shared" si="4"/>
        <v>1.1169419757738892</v>
      </c>
      <c r="AZ13" s="1">
        <f t="shared" si="4"/>
        <v>1.1169419757738892</v>
      </c>
      <c r="BA13" s="1">
        <f t="shared" si="4"/>
        <v>1.1169419757738892</v>
      </c>
      <c r="BB13" s="1">
        <f t="shared" si="4"/>
        <v>1.6754129636608339</v>
      </c>
      <c r="BC13" s="1">
        <f t="shared" si="4"/>
        <v>1.6754129636608339</v>
      </c>
      <c r="BD13" s="1">
        <f t="shared" si="4"/>
        <v>1.6754129636608339</v>
      </c>
      <c r="BE13" s="1">
        <f t="shared" si="4"/>
        <v>1.6754129636608339</v>
      </c>
      <c r="BF13" s="1">
        <f t="shared" si="4"/>
        <v>1.6754129636608339</v>
      </c>
      <c r="BG13" s="1">
        <f t="shared" si="4"/>
        <v>1.6754129636608339</v>
      </c>
      <c r="BH13" s="1">
        <f t="shared" si="4"/>
        <v>7.8185938304172256</v>
      </c>
      <c r="BI13" s="1">
        <f t="shared" si="4"/>
        <v>7.8185938304172256</v>
      </c>
      <c r="BJ13" s="1">
        <f t="shared" si="4"/>
        <v>1.1169419757738892</v>
      </c>
      <c r="BK13" s="1">
        <f t="shared" si="4"/>
        <v>1.1169419757738892</v>
      </c>
      <c r="BL13" s="1">
        <f t="shared" si="4"/>
        <v>1.1169419757738892</v>
      </c>
      <c r="BM13" s="1">
        <f t="shared" si="4"/>
        <v>2.2338839515477784</v>
      </c>
      <c r="BN13" s="1">
        <f t="shared" si="4"/>
        <v>3.7231399192462979</v>
      </c>
      <c r="BO13" s="1">
        <f t="shared" si="4"/>
        <v>2.7923549394347229</v>
      </c>
      <c r="BP13" s="1">
        <f t="shared" si="4"/>
        <v>3.9092969152086128</v>
      </c>
      <c r="BQ13" s="1">
        <f t="shared" si="4"/>
        <v>1.1169419757738892</v>
      </c>
      <c r="BR13" s="1"/>
      <c r="BS13" s="1"/>
      <c r="BT13" s="1"/>
      <c r="BU13" s="1"/>
      <c r="BV13" s="1"/>
      <c r="BW13" s="1"/>
      <c r="BX13" s="1"/>
      <c r="BY13" s="1"/>
    </row>
    <row r="14" spans="1:77" x14ac:dyDescent="0.2">
      <c r="A14" s="2">
        <v>12</v>
      </c>
      <c r="B14" s="2">
        <v>0</v>
      </c>
      <c r="C14" s="2">
        <v>1.8874718654104974</v>
      </c>
      <c r="D14" s="2">
        <v>1.6987246788694474</v>
      </c>
      <c r="E14" s="2">
        <v>2.2649662384925966</v>
      </c>
      <c r="F14" s="2">
        <v>1.1324831192462983</v>
      </c>
      <c r="G14" s="2">
        <v>1.1324831192462983</v>
      </c>
      <c r="H14" s="2">
        <v>3.7749437308209948</v>
      </c>
      <c r="I14" s="2">
        <v>3.7749437308209948</v>
      </c>
      <c r="J14" s="2">
        <v>1.1324831192462983</v>
      </c>
      <c r="K14" s="2">
        <v>1.1324831192462983</v>
      </c>
      <c r="L14" s="2">
        <v>0.84936233943472372</v>
      </c>
      <c r="M14" s="2">
        <v>1.1324831192462983</v>
      </c>
      <c r="N14" s="2">
        <v>1.1324831192462983</v>
      </c>
      <c r="O14" s="2">
        <v>2.2649662384925966</v>
      </c>
      <c r="P14" s="2">
        <v>1.1324831192462983</v>
      </c>
      <c r="Q14" s="2">
        <v>1.1324831192462983</v>
      </c>
      <c r="R14" s="2">
        <v>1.1324831192462983</v>
      </c>
      <c r="S14" s="2">
        <v>1.6987246788694474</v>
      </c>
      <c r="T14" s="2">
        <v>1.6987246788694474</v>
      </c>
      <c r="U14" s="2">
        <v>1.6987246788694474</v>
      </c>
      <c r="V14" s="2">
        <v>1.6987246788694474</v>
      </c>
      <c r="W14" s="2">
        <v>1.6987246788694474</v>
      </c>
      <c r="X14" s="2">
        <v>1.6987246788694474</v>
      </c>
      <c r="Y14" s="2">
        <v>7.9273818347240885</v>
      </c>
      <c r="Z14" s="2">
        <v>7.9273818347240885</v>
      </c>
      <c r="AA14" s="2">
        <v>1.1324831192462983</v>
      </c>
      <c r="AB14" s="2">
        <v>1.1324831192462983</v>
      </c>
      <c r="AC14" s="2">
        <v>1.1324831192462983</v>
      </c>
      <c r="AD14" s="2">
        <v>2.2649662384925966</v>
      </c>
      <c r="AE14" s="2">
        <v>3.7749437308209948</v>
      </c>
      <c r="AF14" s="2">
        <v>2.8312077981157455</v>
      </c>
      <c r="AG14" s="2">
        <v>3.9636909173620443</v>
      </c>
      <c r="AH14" s="2">
        <v>1.1324831192462983</v>
      </c>
      <c r="AI14" s="1">
        <v>70.119579799999997</v>
      </c>
      <c r="AJ14">
        <f t="shared" si="2"/>
        <v>70.119579799999968</v>
      </c>
      <c r="AK14" s="1">
        <f t="shared" si="3"/>
        <v>0</v>
      </c>
      <c r="AL14" s="1">
        <f t="shared" si="4"/>
        <v>1.8874718654104974</v>
      </c>
      <c r="AM14" s="1">
        <f t="shared" si="4"/>
        <v>1.6987246788694474</v>
      </c>
      <c r="AN14" s="1">
        <f t="shared" si="4"/>
        <v>2.2649662384925966</v>
      </c>
      <c r="AO14" s="1">
        <f t="shared" si="4"/>
        <v>1.1324831192462983</v>
      </c>
      <c r="AP14" s="1">
        <f t="shared" si="4"/>
        <v>1.1324831192462983</v>
      </c>
      <c r="AQ14" s="1">
        <f t="shared" si="4"/>
        <v>3.7749437308209948</v>
      </c>
      <c r="AR14" s="1">
        <f t="shared" si="4"/>
        <v>3.7749437308209948</v>
      </c>
      <c r="AS14" s="1">
        <f t="shared" si="4"/>
        <v>1.1324831192462983</v>
      </c>
      <c r="AT14" s="1">
        <f t="shared" si="4"/>
        <v>1.1324831192462983</v>
      </c>
      <c r="AU14" s="1">
        <f t="shared" si="4"/>
        <v>0.84936233943472372</v>
      </c>
      <c r="AV14" s="1">
        <f t="shared" si="4"/>
        <v>1.1324831192462983</v>
      </c>
      <c r="AW14" s="1">
        <f t="shared" si="4"/>
        <v>1.1324831192462983</v>
      </c>
      <c r="AX14" s="1">
        <f t="shared" si="4"/>
        <v>2.2649662384925966</v>
      </c>
      <c r="AY14" s="1">
        <f t="shared" si="4"/>
        <v>1.1324831192462983</v>
      </c>
      <c r="AZ14" s="1">
        <f t="shared" si="4"/>
        <v>1.1324831192462983</v>
      </c>
      <c r="BA14" s="1">
        <f t="shared" si="4"/>
        <v>1.1324831192462983</v>
      </c>
      <c r="BB14" s="1">
        <f t="shared" si="4"/>
        <v>1.6987246788694474</v>
      </c>
      <c r="BC14" s="1">
        <f t="shared" si="4"/>
        <v>1.6987246788694474</v>
      </c>
      <c r="BD14" s="1">
        <f t="shared" si="4"/>
        <v>1.6987246788694474</v>
      </c>
      <c r="BE14" s="1">
        <f t="shared" si="4"/>
        <v>1.6987246788694474</v>
      </c>
      <c r="BF14" s="1">
        <f t="shared" si="4"/>
        <v>1.6987246788694474</v>
      </c>
      <c r="BG14" s="1">
        <f t="shared" si="4"/>
        <v>1.6987246788694474</v>
      </c>
      <c r="BH14" s="1">
        <f t="shared" si="4"/>
        <v>7.9273818347240885</v>
      </c>
      <c r="BI14" s="1">
        <f t="shared" si="4"/>
        <v>7.9273818347240885</v>
      </c>
      <c r="BJ14" s="1">
        <f t="shared" si="4"/>
        <v>1.1324831192462983</v>
      </c>
      <c r="BK14" s="1">
        <f t="shared" si="4"/>
        <v>1.1324831192462983</v>
      </c>
      <c r="BL14" s="1">
        <f t="shared" si="4"/>
        <v>1.1324831192462983</v>
      </c>
      <c r="BM14" s="1">
        <f t="shared" si="4"/>
        <v>2.2649662384925966</v>
      </c>
      <c r="BN14" s="1">
        <f t="shared" si="4"/>
        <v>3.7749437308209948</v>
      </c>
      <c r="BO14" s="1">
        <f t="shared" si="4"/>
        <v>2.8312077981157455</v>
      </c>
      <c r="BP14" s="1">
        <f t="shared" si="4"/>
        <v>3.9636909173620443</v>
      </c>
      <c r="BQ14" s="1">
        <f t="shared" si="4"/>
        <v>1.1324831192462983</v>
      </c>
      <c r="BR14" s="1"/>
      <c r="BS14" s="1"/>
      <c r="BT14" s="1"/>
      <c r="BU14" s="1"/>
      <c r="BV14" s="1"/>
      <c r="BW14" s="1"/>
      <c r="BX14" s="1"/>
      <c r="BY14" s="1"/>
    </row>
    <row r="15" spans="1:77" x14ac:dyDescent="0.2">
      <c r="A15" s="2">
        <v>13</v>
      </c>
      <c r="B15" s="2">
        <v>0</v>
      </c>
      <c r="C15" s="2">
        <v>1.7415146271870789</v>
      </c>
      <c r="D15" s="2">
        <v>1.5673631644683708</v>
      </c>
      <c r="E15" s="2">
        <v>2.0898175526244942</v>
      </c>
      <c r="F15" s="2">
        <v>1.0449087763122471</v>
      </c>
      <c r="G15" s="2">
        <v>1.0449087763122471</v>
      </c>
      <c r="H15" s="2">
        <v>3.4830292543741579</v>
      </c>
      <c r="I15" s="2">
        <v>3.4830292543741579</v>
      </c>
      <c r="J15" s="2">
        <v>1.0449087763122471</v>
      </c>
      <c r="K15" s="2">
        <v>1.0449087763122471</v>
      </c>
      <c r="L15" s="2">
        <v>0.78368158223418538</v>
      </c>
      <c r="M15" s="2">
        <v>1.0449087763122471</v>
      </c>
      <c r="N15" s="2">
        <v>1.0449087763122471</v>
      </c>
      <c r="O15" s="2">
        <v>2.0898175526244942</v>
      </c>
      <c r="P15" s="2">
        <v>1.0449087763122471</v>
      </c>
      <c r="Q15" s="2">
        <v>1.0449087763122471</v>
      </c>
      <c r="R15" s="2">
        <v>1.0449087763122471</v>
      </c>
      <c r="S15" s="2">
        <v>1.5673631644683708</v>
      </c>
      <c r="T15" s="2">
        <v>1.5673631644683708</v>
      </c>
      <c r="U15" s="2">
        <v>1.5673631644683708</v>
      </c>
      <c r="V15" s="2">
        <v>1.5673631644683708</v>
      </c>
      <c r="W15" s="2">
        <v>1.5673631644683708</v>
      </c>
      <c r="X15" s="2">
        <v>1.5673631644683708</v>
      </c>
      <c r="Y15" s="2">
        <v>7.3143614341857308</v>
      </c>
      <c r="Z15" s="2">
        <v>7.3143614341857308</v>
      </c>
      <c r="AA15" s="2">
        <v>1.0449087763122471</v>
      </c>
      <c r="AB15" s="2">
        <v>1.0449087763122471</v>
      </c>
      <c r="AC15" s="2">
        <v>1.0449087763122471</v>
      </c>
      <c r="AD15" s="2">
        <v>2.0898175526244942</v>
      </c>
      <c r="AE15" s="2">
        <v>3.4830292543741579</v>
      </c>
      <c r="AF15" s="2">
        <v>2.6122719407806181</v>
      </c>
      <c r="AG15" s="2">
        <v>3.6571807170928654</v>
      </c>
      <c r="AH15" s="2">
        <v>1.0449087763122471</v>
      </c>
      <c r="AI15" s="1">
        <v>64.697268399999999</v>
      </c>
      <c r="AJ15">
        <f t="shared" si="2"/>
        <v>64.69726839999997</v>
      </c>
      <c r="AK15" s="1">
        <f t="shared" si="3"/>
        <v>0</v>
      </c>
      <c r="AL15" s="1">
        <f t="shared" si="4"/>
        <v>1.7415146271870789</v>
      </c>
      <c r="AM15" s="1">
        <f t="shared" si="4"/>
        <v>1.5673631644683708</v>
      </c>
      <c r="AN15" s="1">
        <f t="shared" si="4"/>
        <v>2.0898175526244942</v>
      </c>
      <c r="AO15" s="1">
        <f t="shared" si="4"/>
        <v>1.0449087763122471</v>
      </c>
      <c r="AP15" s="1">
        <f t="shared" si="4"/>
        <v>1.0449087763122471</v>
      </c>
      <c r="AQ15" s="1">
        <f t="shared" si="4"/>
        <v>3.4830292543741579</v>
      </c>
      <c r="AR15" s="1">
        <f t="shared" si="4"/>
        <v>3.4830292543741579</v>
      </c>
      <c r="AS15" s="1">
        <f t="shared" si="4"/>
        <v>1.0449087763122471</v>
      </c>
      <c r="AT15" s="1">
        <f t="shared" si="4"/>
        <v>1.0449087763122471</v>
      </c>
      <c r="AU15" s="1">
        <f t="shared" si="4"/>
        <v>0.78368158223418538</v>
      </c>
      <c r="AV15" s="1">
        <f t="shared" si="4"/>
        <v>1.0449087763122471</v>
      </c>
      <c r="AW15" s="1">
        <f t="shared" si="4"/>
        <v>1.0449087763122471</v>
      </c>
      <c r="AX15" s="1">
        <f t="shared" si="4"/>
        <v>2.0898175526244942</v>
      </c>
      <c r="AY15" s="1">
        <f t="shared" si="4"/>
        <v>1.0449087763122471</v>
      </c>
      <c r="AZ15" s="1">
        <f t="shared" si="4"/>
        <v>1.0449087763122471</v>
      </c>
      <c r="BA15" s="1">
        <f t="shared" si="4"/>
        <v>1.0449087763122471</v>
      </c>
      <c r="BB15" s="1">
        <f t="shared" si="4"/>
        <v>1.5673631644683708</v>
      </c>
      <c r="BC15" s="1">
        <f t="shared" si="4"/>
        <v>1.5673631644683708</v>
      </c>
      <c r="BD15" s="1">
        <f t="shared" si="4"/>
        <v>1.5673631644683708</v>
      </c>
      <c r="BE15" s="1">
        <f t="shared" si="4"/>
        <v>1.5673631644683708</v>
      </c>
      <c r="BF15" s="1">
        <f t="shared" si="4"/>
        <v>1.5673631644683708</v>
      </c>
      <c r="BG15" s="1">
        <f t="shared" si="4"/>
        <v>1.5673631644683708</v>
      </c>
      <c r="BH15" s="1">
        <f t="shared" si="4"/>
        <v>7.3143614341857308</v>
      </c>
      <c r="BI15" s="1">
        <f t="shared" si="4"/>
        <v>7.3143614341857308</v>
      </c>
      <c r="BJ15" s="1">
        <f t="shared" si="4"/>
        <v>1.0449087763122471</v>
      </c>
      <c r="BK15" s="1">
        <f t="shared" si="4"/>
        <v>1.0449087763122471</v>
      </c>
      <c r="BL15" s="1">
        <f t="shared" si="4"/>
        <v>1.0449087763122471</v>
      </c>
      <c r="BM15" s="1">
        <f t="shared" si="4"/>
        <v>2.0898175526244942</v>
      </c>
      <c r="BN15" s="1">
        <f t="shared" si="4"/>
        <v>3.4830292543741579</v>
      </c>
      <c r="BO15" s="1">
        <f t="shared" si="4"/>
        <v>2.6122719407806181</v>
      </c>
      <c r="BP15" s="1">
        <f t="shared" si="4"/>
        <v>3.6571807170928654</v>
      </c>
      <c r="BQ15" s="1">
        <f t="shared" si="4"/>
        <v>1.0449087763122471</v>
      </c>
      <c r="BR15" s="1"/>
      <c r="BS15" s="1"/>
      <c r="BT15" s="1"/>
      <c r="BU15" s="1"/>
      <c r="BV15" s="1"/>
      <c r="BW15" s="1"/>
      <c r="BX15" s="1"/>
      <c r="BY15" s="1"/>
    </row>
    <row r="16" spans="1:77" x14ac:dyDescent="0.2">
      <c r="A16" s="2">
        <v>14</v>
      </c>
      <c r="B16" s="2">
        <v>0</v>
      </c>
      <c r="C16" s="2">
        <v>1.7216996689098247</v>
      </c>
      <c r="D16" s="2">
        <v>1.5495297020188419</v>
      </c>
      <c r="E16" s="2">
        <v>2.0660396026917893</v>
      </c>
      <c r="F16" s="2">
        <v>1.0330198013458947</v>
      </c>
      <c r="G16" s="2">
        <v>1.0330198013458947</v>
      </c>
      <c r="H16" s="2">
        <v>3.4433993378196495</v>
      </c>
      <c r="I16" s="2">
        <v>3.4433993378196495</v>
      </c>
      <c r="J16" s="2">
        <v>1.0330198013458947</v>
      </c>
      <c r="K16" s="2">
        <v>1.0330198013458947</v>
      </c>
      <c r="L16" s="2">
        <v>0.77476485100942094</v>
      </c>
      <c r="M16" s="2">
        <v>1.0330198013458947</v>
      </c>
      <c r="N16" s="2">
        <v>1.0330198013458947</v>
      </c>
      <c r="O16" s="2">
        <v>2.0660396026917893</v>
      </c>
      <c r="P16" s="2">
        <v>1.0330198013458947</v>
      </c>
      <c r="Q16" s="2">
        <v>1.0330198013458947</v>
      </c>
      <c r="R16" s="2">
        <v>1.0330198013458947</v>
      </c>
      <c r="S16" s="2">
        <v>1.5495297020188419</v>
      </c>
      <c r="T16" s="2">
        <v>1.5495297020188419</v>
      </c>
      <c r="U16" s="2">
        <v>1.5495297020188419</v>
      </c>
      <c r="V16" s="2">
        <v>1.5495297020188419</v>
      </c>
      <c r="W16" s="2">
        <v>1.5495297020188419</v>
      </c>
      <c r="X16" s="2">
        <v>1.5495297020188419</v>
      </c>
      <c r="Y16" s="2">
        <v>7.2311386094212633</v>
      </c>
      <c r="Z16" s="2">
        <v>7.2311386094212633</v>
      </c>
      <c r="AA16" s="2">
        <v>1.0330198013458947</v>
      </c>
      <c r="AB16" s="2">
        <v>1.0330198013458947</v>
      </c>
      <c r="AC16" s="2">
        <v>1.0330198013458947</v>
      </c>
      <c r="AD16" s="2">
        <v>2.0660396026917893</v>
      </c>
      <c r="AE16" s="2">
        <v>3.4433993378196495</v>
      </c>
      <c r="AF16" s="2">
        <v>2.5825495033647368</v>
      </c>
      <c r="AG16" s="2">
        <v>3.6155693047106316</v>
      </c>
      <c r="AH16" s="2">
        <v>1.0330198013458947</v>
      </c>
      <c r="AI16" s="1">
        <v>63.961142700000003</v>
      </c>
      <c r="AJ16">
        <f t="shared" si="2"/>
        <v>63.961142699999975</v>
      </c>
      <c r="AK16" s="1">
        <f t="shared" si="3"/>
        <v>0</v>
      </c>
      <c r="AL16" s="1">
        <f t="shared" si="4"/>
        <v>1.7216996689098247</v>
      </c>
      <c r="AM16" s="1">
        <f t="shared" si="4"/>
        <v>1.5495297020188419</v>
      </c>
      <c r="AN16" s="1">
        <f t="shared" si="4"/>
        <v>2.0660396026917893</v>
      </c>
      <c r="AO16" s="1">
        <f t="shared" si="4"/>
        <v>1.0330198013458947</v>
      </c>
      <c r="AP16" s="1">
        <f t="shared" si="4"/>
        <v>1.0330198013458947</v>
      </c>
      <c r="AQ16" s="1">
        <f t="shared" si="4"/>
        <v>3.4433993378196495</v>
      </c>
      <c r="AR16" s="1">
        <f t="shared" si="4"/>
        <v>3.4433993378196495</v>
      </c>
      <c r="AS16" s="1">
        <f t="shared" si="4"/>
        <v>1.0330198013458947</v>
      </c>
      <c r="AT16" s="1">
        <f t="shared" si="4"/>
        <v>1.0330198013458947</v>
      </c>
      <c r="AU16" s="1">
        <f t="shared" si="4"/>
        <v>0.77476485100942094</v>
      </c>
      <c r="AV16" s="1">
        <f t="shared" si="4"/>
        <v>1.0330198013458947</v>
      </c>
      <c r="AW16" s="1">
        <f t="shared" si="4"/>
        <v>1.0330198013458947</v>
      </c>
      <c r="AX16" s="1">
        <f t="shared" si="4"/>
        <v>2.0660396026917893</v>
      </c>
      <c r="AY16" s="1">
        <f t="shared" si="4"/>
        <v>1.0330198013458947</v>
      </c>
      <c r="AZ16" s="1">
        <f t="shared" si="4"/>
        <v>1.0330198013458947</v>
      </c>
      <c r="BA16" s="1">
        <f t="shared" si="4"/>
        <v>1.0330198013458947</v>
      </c>
      <c r="BB16" s="1">
        <f t="shared" si="4"/>
        <v>1.5495297020188419</v>
      </c>
      <c r="BC16" s="1">
        <f t="shared" si="4"/>
        <v>1.5495297020188419</v>
      </c>
      <c r="BD16" s="1">
        <f t="shared" si="4"/>
        <v>1.5495297020188419</v>
      </c>
      <c r="BE16" s="1">
        <f t="shared" si="4"/>
        <v>1.5495297020188419</v>
      </c>
      <c r="BF16" s="1">
        <f t="shared" si="4"/>
        <v>1.5495297020188419</v>
      </c>
      <c r="BG16" s="1">
        <f t="shared" si="4"/>
        <v>1.5495297020188419</v>
      </c>
      <c r="BH16" s="1">
        <f t="shared" si="4"/>
        <v>7.2311386094212633</v>
      </c>
      <c r="BI16" s="1">
        <f t="shared" si="4"/>
        <v>7.2311386094212633</v>
      </c>
      <c r="BJ16" s="1">
        <f t="shared" si="4"/>
        <v>1.0330198013458947</v>
      </c>
      <c r="BK16" s="1">
        <f t="shared" si="4"/>
        <v>1.0330198013458947</v>
      </c>
      <c r="BL16" s="1">
        <f t="shared" si="4"/>
        <v>1.0330198013458947</v>
      </c>
      <c r="BM16" s="1">
        <f t="shared" si="4"/>
        <v>2.0660396026917893</v>
      </c>
      <c r="BN16" s="1">
        <f t="shared" si="4"/>
        <v>3.4433993378196495</v>
      </c>
      <c r="BO16" s="1">
        <f t="shared" si="4"/>
        <v>2.5825495033647368</v>
      </c>
      <c r="BP16" s="1">
        <f t="shared" si="4"/>
        <v>3.6155693047106316</v>
      </c>
      <c r="BQ16" s="1">
        <f t="shared" si="4"/>
        <v>1.0330198013458947</v>
      </c>
      <c r="BR16" s="1"/>
      <c r="BS16" s="1"/>
      <c r="BT16" s="1"/>
      <c r="BU16" s="1"/>
      <c r="BV16" s="1"/>
      <c r="BW16" s="1"/>
      <c r="BX16" s="1"/>
      <c r="BY16" s="1"/>
    </row>
    <row r="17" spans="1:77" x14ac:dyDescent="0.2">
      <c r="A17" s="2">
        <v>15</v>
      </c>
      <c r="B17" s="2">
        <v>0</v>
      </c>
      <c r="C17" s="2">
        <v>1.7450761388963656</v>
      </c>
      <c r="D17" s="2">
        <v>1.5705685250067289</v>
      </c>
      <c r="E17" s="2">
        <v>2.0940913666756384</v>
      </c>
      <c r="F17" s="2">
        <v>1.0470456833378192</v>
      </c>
      <c r="G17" s="2">
        <v>1.0470456833378192</v>
      </c>
      <c r="H17" s="2">
        <v>3.4901522777927312</v>
      </c>
      <c r="I17" s="2">
        <v>3.4901522777927312</v>
      </c>
      <c r="J17" s="2">
        <v>1.0470456833378192</v>
      </c>
      <c r="K17" s="2">
        <v>1.0470456833378192</v>
      </c>
      <c r="L17" s="2">
        <v>0.78528426250336447</v>
      </c>
      <c r="M17" s="2">
        <v>1.0470456833378192</v>
      </c>
      <c r="N17" s="2">
        <v>1.0470456833378192</v>
      </c>
      <c r="O17" s="2">
        <v>2.0940913666756384</v>
      </c>
      <c r="P17" s="2">
        <v>1.0470456833378192</v>
      </c>
      <c r="Q17" s="2">
        <v>1.0470456833378192</v>
      </c>
      <c r="R17" s="2">
        <v>1.0470456833378192</v>
      </c>
      <c r="S17" s="2">
        <v>1.5705685250067289</v>
      </c>
      <c r="T17" s="2">
        <v>1.5705685250067289</v>
      </c>
      <c r="U17" s="2">
        <v>1.5705685250067289</v>
      </c>
      <c r="V17" s="2">
        <v>1.5705685250067289</v>
      </c>
      <c r="W17" s="2">
        <v>1.5705685250067289</v>
      </c>
      <c r="X17" s="2">
        <v>1.5705685250067289</v>
      </c>
      <c r="Y17" s="2">
        <v>7.3293197833647357</v>
      </c>
      <c r="Z17" s="2">
        <v>7.3293197833647357</v>
      </c>
      <c r="AA17" s="2">
        <v>1.0470456833378192</v>
      </c>
      <c r="AB17" s="2">
        <v>1.0470456833378192</v>
      </c>
      <c r="AC17" s="2">
        <v>1.0470456833378192</v>
      </c>
      <c r="AD17" s="2">
        <v>2.0940913666756384</v>
      </c>
      <c r="AE17" s="2">
        <v>3.4901522777927312</v>
      </c>
      <c r="AF17" s="2">
        <v>2.6176142083445479</v>
      </c>
      <c r="AG17" s="2">
        <v>3.6646598916823678</v>
      </c>
      <c r="AH17" s="2">
        <v>1.0470456833378192</v>
      </c>
      <c r="AI17" s="1">
        <v>64.829578560000002</v>
      </c>
      <c r="AJ17">
        <f t="shared" si="2"/>
        <v>64.829578559999987</v>
      </c>
      <c r="AK17" s="1">
        <f t="shared" si="3"/>
        <v>0</v>
      </c>
      <c r="AL17" s="1">
        <f t="shared" si="4"/>
        <v>1.7450761388963656</v>
      </c>
      <c r="AM17" s="1">
        <f t="shared" si="4"/>
        <v>1.5705685250067289</v>
      </c>
      <c r="AN17" s="1">
        <f t="shared" si="4"/>
        <v>2.0940913666756384</v>
      </c>
      <c r="AO17" s="1">
        <f t="shared" si="4"/>
        <v>1.0470456833378192</v>
      </c>
      <c r="AP17" s="1">
        <f t="shared" si="4"/>
        <v>1.0470456833378192</v>
      </c>
      <c r="AQ17" s="1">
        <f t="shared" si="4"/>
        <v>3.4901522777927312</v>
      </c>
      <c r="AR17" s="1">
        <f t="shared" si="4"/>
        <v>3.4901522777927312</v>
      </c>
      <c r="AS17" s="1">
        <f t="shared" si="4"/>
        <v>1.0470456833378192</v>
      </c>
      <c r="AT17" s="1">
        <f t="shared" si="4"/>
        <v>1.0470456833378192</v>
      </c>
      <c r="AU17" s="1">
        <f t="shared" si="4"/>
        <v>0.78528426250336447</v>
      </c>
      <c r="AV17" s="1">
        <f t="shared" si="4"/>
        <v>1.0470456833378192</v>
      </c>
      <c r="AW17" s="1">
        <f t="shared" si="4"/>
        <v>1.0470456833378192</v>
      </c>
      <c r="AX17" s="1">
        <f t="shared" si="4"/>
        <v>2.0940913666756384</v>
      </c>
      <c r="AY17" s="1">
        <f t="shared" si="4"/>
        <v>1.0470456833378192</v>
      </c>
      <c r="AZ17" s="1">
        <f t="shared" si="4"/>
        <v>1.0470456833378192</v>
      </c>
      <c r="BA17" s="1">
        <f t="shared" si="4"/>
        <v>1.0470456833378192</v>
      </c>
      <c r="BB17" s="1">
        <f t="shared" si="4"/>
        <v>1.5705685250067289</v>
      </c>
      <c r="BC17" s="1">
        <f t="shared" si="4"/>
        <v>1.5705685250067289</v>
      </c>
      <c r="BD17" s="1">
        <f t="shared" si="4"/>
        <v>1.5705685250067289</v>
      </c>
      <c r="BE17" s="1">
        <f t="shared" si="4"/>
        <v>1.5705685250067289</v>
      </c>
      <c r="BF17" s="1">
        <f t="shared" si="4"/>
        <v>1.5705685250067289</v>
      </c>
      <c r="BG17" s="1">
        <f t="shared" si="4"/>
        <v>1.5705685250067289</v>
      </c>
      <c r="BH17" s="1">
        <f t="shared" si="4"/>
        <v>7.3293197833647357</v>
      </c>
      <c r="BI17" s="1">
        <f t="shared" si="4"/>
        <v>7.3293197833647357</v>
      </c>
      <c r="BJ17" s="1">
        <f t="shared" si="4"/>
        <v>1.0470456833378192</v>
      </c>
      <c r="BK17" s="1">
        <f t="shared" si="4"/>
        <v>1.0470456833378192</v>
      </c>
      <c r="BL17" s="1">
        <f t="shared" si="4"/>
        <v>1.0470456833378192</v>
      </c>
      <c r="BM17" s="1">
        <f t="shared" si="4"/>
        <v>2.0940913666756384</v>
      </c>
      <c r="BN17" s="1">
        <f t="shared" si="4"/>
        <v>3.4901522777927312</v>
      </c>
      <c r="BO17" s="1">
        <f t="shared" si="4"/>
        <v>2.6176142083445479</v>
      </c>
      <c r="BP17" s="1">
        <f t="shared" si="4"/>
        <v>3.6646598916823678</v>
      </c>
      <c r="BQ17" s="1">
        <f t="shared" si="4"/>
        <v>1.0470456833378192</v>
      </c>
      <c r="BR17" s="1"/>
      <c r="BS17" s="1"/>
      <c r="BT17" s="1"/>
      <c r="BU17" s="1"/>
      <c r="BV17" s="1"/>
      <c r="BW17" s="1"/>
      <c r="BX17" s="1"/>
      <c r="BY17" s="1"/>
    </row>
    <row r="18" spans="1:77" x14ac:dyDescent="0.2">
      <c r="A18" s="2">
        <v>16</v>
      </c>
      <c r="B18" s="2">
        <v>0</v>
      </c>
      <c r="C18" s="2">
        <v>1.7628189442799458</v>
      </c>
      <c r="D18" s="2">
        <v>1.5865370498519509</v>
      </c>
      <c r="E18" s="2">
        <v>2.1153827331359345</v>
      </c>
      <c r="F18" s="2">
        <v>1.0576913665679673</v>
      </c>
      <c r="G18" s="2">
        <v>1.0576913665679673</v>
      </c>
      <c r="H18" s="2">
        <v>3.5256378885598916</v>
      </c>
      <c r="I18" s="2">
        <v>3.5256378885598916</v>
      </c>
      <c r="J18" s="2">
        <v>1.0576913665679673</v>
      </c>
      <c r="K18" s="2">
        <v>1.0576913665679673</v>
      </c>
      <c r="L18" s="2">
        <v>0.79326852492597544</v>
      </c>
      <c r="M18" s="2">
        <v>1.0576913665679673</v>
      </c>
      <c r="N18" s="2">
        <v>1.0576913665679673</v>
      </c>
      <c r="O18" s="2">
        <v>2.1153827331359345</v>
      </c>
      <c r="P18" s="2">
        <v>1.0576913665679673</v>
      </c>
      <c r="Q18" s="2">
        <v>1.0576913665679673</v>
      </c>
      <c r="R18" s="2">
        <v>1.0576913665679673</v>
      </c>
      <c r="S18" s="2">
        <v>1.5865370498519509</v>
      </c>
      <c r="T18" s="2">
        <v>1.5865370498519509</v>
      </c>
      <c r="U18" s="2">
        <v>1.5865370498519509</v>
      </c>
      <c r="V18" s="2">
        <v>1.5865370498519509</v>
      </c>
      <c r="W18" s="2">
        <v>1.5865370498519509</v>
      </c>
      <c r="X18" s="2">
        <v>1.5865370498519509</v>
      </c>
      <c r="Y18" s="2">
        <v>7.4038395659757716</v>
      </c>
      <c r="Z18" s="2">
        <v>7.4038395659757716</v>
      </c>
      <c r="AA18" s="2">
        <v>1.0576913665679673</v>
      </c>
      <c r="AB18" s="2">
        <v>1.0576913665679673</v>
      </c>
      <c r="AC18" s="2">
        <v>1.0576913665679673</v>
      </c>
      <c r="AD18" s="2">
        <v>2.1153827331359345</v>
      </c>
      <c r="AE18" s="2">
        <v>3.5256378885598916</v>
      </c>
      <c r="AF18" s="2">
        <v>2.6442284164199181</v>
      </c>
      <c r="AG18" s="2">
        <v>3.7019197829878858</v>
      </c>
      <c r="AH18" s="2">
        <v>1.0576913665679673</v>
      </c>
      <c r="AI18" s="1">
        <v>65.488723780000001</v>
      </c>
      <c r="AJ18">
        <f t="shared" si="2"/>
        <v>65.488723779999958</v>
      </c>
      <c r="AK18" s="1">
        <f t="shared" si="3"/>
        <v>0</v>
      </c>
      <c r="AL18" s="1">
        <f t="shared" si="4"/>
        <v>1.7628189442799458</v>
      </c>
      <c r="AM18" s="1">
        <f t="shared" si="4"/>
        <v>1.5865370498519509</v>
      </c>
      <c r="AN18" s="1">
        <f t="shared" si="4"/>
        <v>2.1153827331359345</v>
      </c>
      <c r="AO18" s="1">
        <f t="shared" si="4"/>
        <v>1.0576913665679673</v>
      </c>
      <c r="AP18" s="1">
        <f t="shared" si="4"/>
        <v>1.0576913665679673</v>
      </c>
      <c r="AQ18" s="1">
        <f t="shared" si="4"/>
        <v>3.5256378885598916</v>
      </c>
      <c r="AR18" s="1">
        <f t="shared" si="4"/>
        <v>3.5256378885598916</v>
      </c>
      <c r="AS18" s="1">
        <f t="shared" si="4"/>
        <v>1.0576913665679673</v>
      </c>
      <c r="AT18" s="1">
        <f t="shared" si="4"/>
        <v>1.0576913665679673</v>
      </c>
      <c r="AU18" s="1">
        <f t="shared" si="4"/>
        <v>0.79326852492597544</v>
      </c>
      <c r="AV18" s="1">
        <f t="shared" si="4"/>
        <v>1.0576913665679673</v>
      </c>
      <c r="AW18" s="1">
        <f t="shared" si="4"/>
        <v>1.0576913665679673</v>
      </c>
      <c r="AX18" s="1">
        <f t="shared" si="4"/>
        <v>2.1153827331359345</v>
      </c>
      <c r="AY18" s="1">
        <f t="shared" si="4"/>
        <v>1.0576913665679673</v>
      </c>
      <c r="AZ18" s="1">
        <f t="shared" si="4"/>
        <v>1.0576913665679673</v>
      </c>
      <c r="BA18" s="1">
        <f t="shared" si="4"/>
        <v>1.0576913665679673</v>
      </c>
      <c r="BB18" s="1">
        <f t="shared" si="4"/>
        <v>1.5865370498519509</v>
      </c>
      <c r="BC18" s="1">
        <f t="shared" si="4"/>
        <v>1.5865370498519509</v>
      </c>
      <c r="BD18" s="1">
        <f t="shared" si="4"/>
        <v>1.5865370498519509</v>
      </c>
      <c r="BE18" s="1">
        <f t="shared" si="4"/>
        <v>1.5865370498519509</v>
      </c>
      <c r="BF18" s="1">
        <f t="shared" si="4"/>
        <v>1.5865370498519509</v>
      </c>
      <c r="BG18" s="1">
        <f t="shared" si="4"/>
        <v>1.5865370498519509</v>
      </c>
      <c r="BH18" s="1">
        <f t="shared" si="4"/>
        <v>7.4038395659757716</v>
      </c>
      <c r="BI18" s="1">
        <f t="shared" si="4"/>
        <v>7.4038395659757716</v>
      </c>
      <c r="BJ18" s="1">
        <f t="shared" si="4"/>
        <v>1.0576913665679673</v>
      </c>
      <c r="BK18" s="1">
        <f t="shared" si="4"/>
        <v>1.0576913665679673</v>
      </c>
      <c r="BL18" s="1">
        <f t="shared" si="4"/>
        <v>1.0576913665679673</v>
      </c>
      <c r="BM18" s="1">
        <f t="shared" si="4"/>
        <v>2.1153827331359345</v>
      </c>
      <c r="BN18" s="1">
        <f t="shared" si="4"/>
        <v>3.5256378885598916</v>
      </c>
      <c r="BO18" s="1">
        <f t="shared" si="4"/>
        <v>2.6442284164199181</v>
      </c>
      <c r="BP18" s="1">
        <f t="shared" ref="BP18:BQ25" si="5">$AI18*BP$2</f>
        <v>3.7019197829878858</v>
      </c>
      <c r="BQ18" s="1">
        <f t="shared" si="5"/>
        <v>1.0576913665679673</v>
      </c>
      <c r="BR18" s="1"/>
      <c r="BS18" s="1"/>
      <c r="BT18" s="1"/>
      <c r="BU18" s="1"/>
      <c r="BV18" s="1"/>
      <c r="BW18" s="1"/>
      <c r="BX18" s="1"/>
      <c r="BY18" s="1"/>
    </row>
    <row r="19" spans="1:77" x14ac:dyDescent="0.2">
      <c r="A19" s="2">
        <v>17</v>
      </c>
      <c r="B19" s="2">
        <v>0</v>
      </c>
      <c r="C19" s="2">
        <v>1.78930364306864</v>
      </c>
      <c r="D19" s="2">
        <v>1.6103732787617757</v>
      </c>
      <c r="E19" s="2">
        <v>2.1471643716823676</v>
      </c>
      <c r="F19" s="2">
        <v>1.0735821858411838</v>
      </c>
      <c r="G19" s="2">
        <v>1.0735821858411838</v>
      </c>
      <c r="H19" s="2">
        <v>3.57860728613728</v>
      </c>
      <c r="I19" s="2">
        <v>3.57860728613728</v>
      </c>
      <c r="J19" s="2">
        <v>1.0735821858411838</v>
      </c>
      <c r="K19" s="2">
        <v>1.0735821858411838</v>
      </c>
      <c r="L19" s="2">
        <v>0.80518663938088786</v>
      </c>
      <c r="M19" s="2">
        <v>1.0735821858411838</v>
      </c>
      <c r="N19" s="2">
        <v>1.0735821858411838</v>
      </c>
      <c r="O19" s="2">
        <v>2.1471643716823676</v>
      </c>
      <c r="P19" s="2">
        <v>1.0735821858411838</v>
      </c>
      <c r="Q19" s="2">
        <v>1.0735821858411838</v>
      </c>
      <c r="R19" s="2">
        <v>1.0735821858411838</v>
      </c>
      <c r="S19" s="2">
        <v>1.6103732787617757</v>
      </c>
      <c r="T19" s="2">
        <v>1.6103732787617757</v>
      </c>
      <c r="U19" s="2">
        <v>1.6103732787617757</v>
      </c>
      <c r="V19" s="2">
        <v>1.6103732787617757</v>
      </c>
      <c r="W19" s="2">
        <v>1.6103732787617757</v>
      </c>
      <c r="X19" s="2">
        <v>1.6103732787617757</v>
      </c>
      <c r="Y19" s="2">
        <v>7.515075300888288</v>
      </c>
      <c r="Z19" s="2">
        <v>7.515075300888288</v>
      </c>
      <c r="AA19" s="2">
        <v>1.0735821858411838</v>
      </c>
      <c r="AB19" s="2">
        <v>1.0735821858411838</v>
      </c>
      <c r="AC19" s="2">
        <v>1.0735821858411838</v>
      </c>
      <c r="AD19" s="2">
        <v>2.1471643716823676</v>
      </c>
      <c r="AE19" s="2">
        <v>3.57860728613728</v>
      </c>
      <c r="AF19" s="2">
        <v>2.6839554646029598</v>
      </c>
      <c r="AG19" s="2">
        <v>3.757537650444144</v>
      </c>
      <c r="AH19" s="2">
        <v>1.0735821858411838</v>
      </c>
      <c r="AI19" s="1">
        <v>66.472630339999995</v>
      </c>
      <c r="AJ19">
        <f t="shared" si="2"/>
        <v>66.472630339999967</v>
      </c>
      <c r="AK19" s="1">
        <f t="shared" si="3"/>
        <v>0</v>
      </c>
      <c r="AL19" s="1">
        <f t="shared" si="3"/>
        <v>1.78930364306864</v>
      </c>
      <c r="AM19" s="1">
        <f t="shared" si="3"/>
        <v>1.6103732787617757</v>
      </c>
      <c r="AN19" s="1">
        <f t="shared" si="3"/>
        <v>2.1471643716823676</v>
      </c>
      <c r="AO19" s="1">
        <f t="shared" si="3"/>
        <v>1.0735821858411838</v>
      </c>
      <c r="AP19" s="1">
        <f t="shared" si="3"/>
        <v>1.0735821858411838</v>
      </c>
      <c r="AQ19" s="1">
        <f t="shared" si="3"/>
        <v>3.57860728613728</v>
      </c>
      <c r="AR19" s="1">
        <f t="shared" si="3"/>
        <v>3.57860728613728</v>
      </c>
      <c r="AS19" s="1">
        <f t="shared" si="3"/>
        <v>1.0735821858411838</v>
      </c>
      <c r="AT19" s="1">
        <f t="shared" si="3"/>
        <v>1.0735821858411838</v>
      </c>
      <c r="AU19" s="1">
        <f t="shared" si="3"/>
        <v>0.80518663938088786</v>
      </c>
      <c r="AV19" s="1">
        <f t="shared" si="3"/>
        <v>1.0735821858411838</v>
      </c>
      <c r="AW19" s="1">
        <f t="shared" si="3"/>
        <v>1.0735821858411838</v>
      </c>
      <c r="AX19" s="1">
        <f t="shared" si="3"/>
        <v>2.1471643716823676</v>
      </c>
      <c r="AY19" s="1">
        <f t="shared" si="3"/>
        <v>1.0735821858411838</v>
      </c>
      <c r="AZ19" s="1">
        <f t="shared" si="3"/>
        <v>1.0735821858411838</v>
      </c>
      <c r="BA19" s="1">
        <f t="shared" ref="BA19:BP25" si="6">$AI19*BA$2</f>
        <v>1.0735821858411838</v>
      </c>
      <c r="BB19" s="1">
        <f t="shared" si="6"/>
        <v>1.6103732787617757</v>
      </c>
      <c r="BC19" s="1">
        <f t="shared" si="6"/>
        <v>1.6103732787617757</v>
      </c>
      <c r="BD19" s="1">
        <f t="shared" si="6"/>
        <v>1.6103732787617757</v>
      </c>
      <c r="BE19" s="1">
        <f t="shared" si="6"/>
        <v>1.6103732787617757</v>
      </c>
      <c r="BF19" s="1">
        <f t="shared" si="6"/>
        <v>1.6103732787617757</v>
      </c>
      <c r="BG19" s="1">
        <f t="shared" si="6"/>
        <v>1.6103732787617757</v>
      </c>
      <c r="BH19" s="1">
        <f t="shared" si="6"/>
        <v>7.515075300888288</v>
      </c>
      <c r="BI19" s="1">
        <f t="shared" si="6"/>
        <v>7.515075300888288</v>
      </c>
      <c r="BJ19" s="1">
        <f t="shared" si="6"/>
        <v>1.0735821858411838</v>
      </c>
      <c r="BK19" s="1">
        <f t="shared" si="6"/>
        <v>1.0735821858411838</v>
      </c>
      <c r="BL19" s="1">
        <f t="shared" si="6"/>
        <v>1.0735821858411838</v>
      </c>
      <c r="BM19" s="1">
        <f t="shared" si="6"/>
        <v>2.1471643716823676</v>
      </c>
      <c r="BN19" s="1">
        <f t="shared" si="6"/>
        <v>3.57860728613728</v>
      </c>
      <c r="BO19" s="1">
        <f t="shared" si="6"/>
        <v>2.6839554646029598</v>
      </c>
      <c r="BP19" s="1">
        <f t="shared" si="6"/>
        <v>3.757537650444144</v>
      </c>
      <c r="BQ19" s="1">
        <f t="shared" si="5"/>
        <v>1.0735821858411838</v>
      </c>
      <c r="BR19" s="1"/>
      <c r="BS19" s="1"/>
      <c r="BT19" s="1"/>
      <c r="BU19" s="1"/>
      <c r="BV19" s="1"/>
      <c r="BW19" s="1"/>
      <c r="BX19" s="1"/>
      <c r="BY19" s="1"/>
    </row>
    <row r="20" spans="1:77" x14ac:dyDescent="0.2">
      <c r="A20" s="2">
        <v>18</v>
      </c>
      <c r="B20" s="2">
        <v>0</v>
      </c>
      <c r="C20" s="2">
        <v>1.8221343084791384</v>
      </c>
      <c r="D20" s="2">
        <v>1.6399208776312242</v>
      </c>
      <c r="E20" s="2">
        <v>2.1865611701749654</v>
      </c>
      <c r="F20" s="2">
        <v>1.0932805850874827</v>
      </c>
      <c r="G20" s="2">
        <v>1.0932805850874827</v>
      </c>
      <c r="H20" s="2">
        <v>3.6442686169582768</v>
      </c>
      <c r="I20" s="2">
        <v>3.6442686169582768</v>
      </c>
      <c r="J20" s="2">
        <v>1.0932805850874827</v>
      </c>
      <c r="K20" s="2">
        <v>1.0932805850874827</v>
      </c>
      <c r="L20" s="2">
        <v>0.81996043881561209</v>
      </c>
      <c r="M20" s="2">
        <v>1.0932805850874827</v>
      </c>
      <c r="N20" s="2">
        <v>1.0932805850874827</v>
      </c>
      <c r="O20" s="2">
        <v>2.1865611701749654</v>
      </c>
      <c r="P20" s="2">
        <v>1.0932805850874827</v>
      </c>
      <c r="Q20" s="2">
        <v>1.0932805850874827</v>
      </c>
      <c r="R20" s="2">
        <v>1.0932805850874827</v>
      </c>
      <c r="S20" s="2">
        <v>1.6399208776312242</v>
      </c>
      <c r="T20" s="2">
        <v>1.6399208776312242</v>
      </c>
      <c r="U20" s="2">
        <v>1.6399208776312242</v>
      </c>
      <c r="V20" s="2">
        <v>1.6399208776312242</v>
      </c>
      <c r="W20" s="2">
        <v>1.6399208776312242</v>
      </c>
      <c r="X20" s="2">
        <v>1.6399208776312242</v>
      </c>
      <c r="Y20" s="2">
        <v>7.652964095612381</v>
      </c>
      <c r="Z20" s="2">
        <v>7.652964095612381</v>
      </c>
      <c r="AA20" s="2">
        <v>1.0932805850874827</v>
      </c>
      <c r="AB20" s="2">
        <v>1.0932805850874827</v>
      </c>
      <c r="AC20" s="2">
        <v>1.0932805850874827</v>
      </c>
      <c r="AD20" s="2">
        <v>2.1865611701749654</v>
      </c>
      <c r="AE20" s="2">
        <v>3.6442686169582768</v>
      </c>
      <c r="AF20" s="2">
        <v>2.7332014627187071</v>
      </c>
      <c r="AG20" s="2">
        <v>3.8264820478061905</v>
      </c>
      <c r="AH20" s="2">
        <v>1.0932805850874827</v>
      </c>
      <c r="AI20" s="1">
        <v>67.692289560000006</v>
      </c>
      <c r="AJ20">
        <f t="shared" si="2"/>
        <v>67.692289560000006</v>
      </c>
      <c r="AK20" s="1">
        <f t="shared" si="3"/>
        <v>0</v>
      </c>
      <c r="AL20" s="1">
        <f t="shared" si="3"/>
        <v>1.8221343084791384</v>
      </c>
      <c r="AM20" s="1">
        <f t="shared" si="3"/>
        <v>1.6399208776312242</v>
      </c>
      <c r="AN20" s="1">
        <f t="shared" si="3"/>
        <v>2.1865611701749654</v>
      </c>
      <c r="AO20" s="1">
        <f t="shared" si="3"/>
        <v>1.0932805850874827</v>
      </c>
      <c r="AP20" s="1">
        <f t="shared" si="3"/>
        <v>1.0932805850874827</v>
      </c>
      <c r="AQ20" s="1">
        <f t="shared" si="3"/>
        <v>3.6442686169582768</v>
      </c>
      <c r="AR20" s="1">
        <f t="shared" si="3"/>
        <v>3.6442686169582768</v>
      </c>
      <c r="AS20" s="1">
        <f t="shared" si="3"/>
        <v>1.0932805850874827</v>
      </c>
      <c r="AT20" s="1">
        <f t="shared" si="3"/>
        <v>1.0932805850874827</v>
      </c>
      <c r="AU20" s="1">
        <f t="shared" si="3"/>
        <v>0.81996043881561209</v>
      </c>
      <c r="AV20" s="1">
        <f t="shared" si="3"/>
        <v>1.0932805850874827</v>
      </c>
      <c r="AW20" s="1">
        <f t="shared" si="3"/>
        <v>1.0932805850874827</v>
      </c>
      <c r="AX20" s="1">
        <f t="shared" si="3"/>
        <v>2.1865611701749654</v>
      </c>
      <c r="AY20" s="1">
        <f t="shared" si="3"/>
        <v>1.0932805850874827</v>
      </c>
      <c r="AZ20" s="1">
        <f t="shared" si="3"/>
        <v>1.0932805850874827</v>
      </c>
      <c r="BA20" s="1">
        <f t="shared" si="6"/>
        <v>1.0932805850874827</v>
      </c>
      <c r="BB20" s="1">
        <f t="shared" si="6"/>
        <v>1.6399208776312242</v>
      </c>
      <c r="BC20" s="1">
        <f t="shared" si="6"/>
        <v>1.6399208776312242</v>
      </c>
      <c r="BD20" s="1">
        <f t="shared" si="6"/>
        <v>1.6399208776312242</v>
      </c>
      <c r="BE20" s="1">
        <f t="shared" si="6"/>
        <v>1.6399208776312242</v>
      </c>
      <c r="BF20" s="1">
        <f t="shared" si="6"/>
        <v>1.6399208776312242</v>
      </c>
      <c r="BG20" s="1">
        <f t="shared" si="6"/>
        <v>1.6399208776312242</v>
      </c>
      <c r="BH20" s="1">
        <f t="shared" si="6"/>
        <v>7.652964095612381</v>
      </c>
      <c r="BI20" s="1">
        <f t="shared" si="6"/>
        <v>7.652964095612381</v>
      </c>
      <c r="BJ20" s="1">
        <f t="shared" si="6"/>
        <v>1.0932805850874827</v>
      </c>
      <c r="BK20" s="1">
        <f t="shared" si="6"/>
        <v>1.0932805850874827</v>
      </c>
      <c r="BL20" s="1">
        <f t="shared" si="6"/>
        <v>1.0932805850874827</v>
      </c>
      <c r="BM20" s="1">
        <f t="shared" si="6"/>
        <v>2.1865611701749654</v>
      </c>
      <c r="BN20" s="1">
        <f t="shared" si="6"/>
        <v>3.6442686169582768</v>
      </c>
      <c r="BO20" s="1">
        <f t="shared" si="6"/>
        <v>2.7332014627187071</v>
      </c>
      <c r="BP20" s="1">
        <f t="shared" si="6"/>
        <v>3.8264820478061905</v>
      </c>
      <c r="BQ20" s="1">
        <f t="shared" si="5"/>
        <v>1.0932805850874827</v>
      </c>
      <c r="BR20" s="1"/>
      <c r="BS20" s="1"/>
      <c r="BT20" s="1"/>
      <c r="BU20" s="1"/>
      <c r="BV20" s="1"/>
      <c r="BW20" s="1"/>
      <c r="BX20" s="1"/>
      <c r="BY20" s="1"/>
    </row>
    <row r="21" spans="1:77" x14ac:dyDescent="0.2">
      <c r="A21" s="2">
        <v>19</v>
      </c>
      <c r="B21" s="2">
        <v>0</v>
      </c>
      <c r="C21" s="2">
        <v>1.9088409372812918</v>
      </c>
      <c r="D21" s="2">
        <v>1.7179568435531622</v>
      </c>
      <c r="E21" s="2">
        <v>2.2906091247375495</v>
      </c>
      <c r="F21" s="2">
        <v>1.1453045623687748</v>
      </c>
      <c r="G21" s="2">
        <v>1.1453045623687748</v>
      </c>
      <c r="H21" s="2">
        <v>3.8176818745625836</v>
      </c>
      <c r="I21" s="2">
        <v>3.8176818745625836</v>
      </c>
      <c r="J21" s="2">
        <v>1.1453045623687748</v>
      </c>
      <c r="K21" s="2">
        <v>1.1453045623687748</v>
      </c>
      <c r="L21" s="2">
        <v>0.85897842177658112</v>
      </c>
      <c r="M21" s="2">
        <v>1.1453045623687748</v>
      </c>
      <c r="N21" s="2">
        <v>1.1453045623687748</v>
      </c>
      <c r="O21" s="2">
        <v>2.2906091247375495</v>
      </c>
      <c r="P21" s="2">
        <v>1.1453045623687748</v>
      </c>
      <c r="Q21" s="2">
        <v>1.1453045623687748</v>
      </c>
      <c r="R21" s="2">
        <v>1.1453045623687748</v>
      </c>
      <c r="S21" s="2">
        <v>1.7179568435531622</v>
      </c>
      <c r="T21" s="2">
        <v>1.7179568435531622</v>
      </c>
      <c r="U21" s="2">
        <v>1.7179568435531622</v>
      </c>
      <c r="V21" s="2">
        <v>1.7179568435531622</v>
      </c>
      <c r="W21" s="2">
        <v>1.7179568435531622</v>
      </c>
      <c r="X21" s="2">
        <v>1.7179568435531622</v>
      </c>
      <c r="Y21" s="2">
        <v>8.0171319365814249</v>
      </c>
      <c r="Z21" s="2">
        <v>8.0171319365814249</v>
      </c>
      <c r="AA21" s="2">
        <v>1.1453045623687748</v>
      </c>
      <c r="AB21" s="2">
        <v>1.1453045623687748</v>
      </c>
      <c r="AC21" s="2">
        <v>1.1453045623687748</v>
      </c>
      <c r="AD21" s="2">
        <v>2.2906091247375495</v>
      </c>
      <c r="AE21" s="2">
        <v>3.8176818745625836</v>
      </c>
      <c r="AF21" s="2">
        <v>2.863261405921937</v>
      </c>
      <c r="AG21" s="2">
        <v>4.0085659682907124</v>
      </c>
      <c r="AH21" s="2">
        <v>1.1453045623687748</v>
      </c>
      <c r="AI21" s="1">
        <v>70.913440820000005</v>
      </c>
      <c r="AJ21">
        <f t="shared" si="2"/>
        <v>70.913440819999948</v>
      </c>
      <c r="AK21" s="1">
        <f t="shared" si="3"/>
        <v>0</v>
      </c>
      <c r="AL21" s="1">
        <f t="shared" si="3"/>
        <v>1.9088409372812918</v>
      </c>
      <c r="AM21" s="1">
        <f t="shared" si="3"/>
        <v>1.7179568435531622</v>
      </c>
      <c r="AN21" s="1">
        <f t="shared" si="3"/>
        <v>2.2906091247375495</v>
      </c>
      <c r="AO21" s="1">
        <f t="shared" si="3"/>
        <v>1.1453045623687748</v>
      </c>
      <c r="AP21" s="1">
        <f t="shared" si="3"/>
        <v>1.1453045623687748</v>
      </c>
      <c r="AQ21" s="1">
        <f t="shared" si="3"/>
        <v>3.8176818745625836</v>
      </c>
      <c r="AR21" s="1">
        <f t="shared" si="3"/>
        <v>3.8176818745625836</v>
      </c>
      <c r="AS21" s="1">
        <f t="shared" si="3"/>
        <v>1.1453045623687748</v>
      </c>
      <c r="AT21" s="1">
        <f t="shared" si="3"/>
        <v>1.1453045623687748</v>
      </c>
      <c r="AU21" s="1">
        <f t="shared" si="3"/>
        <v>0.85897842177658112</v>
      </c>
      <c r="AV21" s="1">
        <f t="shared" si="3"/>
        <v>1.1453045623687748</v>
      </c>
      <c r="AW21" s="1">
        <f t="shared" si="3"/>
        <v>1.1453045623687748</v>
      </c>
      <c r="AX21" s="1">
        <f t="shared" si="3"/>
        <v>2.2906091247375495</v>
      </c>
      <c r="AY21" s="1">
        <f t="shared" si="3"/>
        <v>1.1453045623687748</v>
      </c>
      <c r="AZ21" s="1">
        <f t="shared" si="3"/>
        <v>1.1453045623687748</v>
      </c>
      <c r="BA21" s="1">
        <f t="shared" si="6"/>
        <v>1.1453045623687748</v>
      </c>
      <c r="BB21" s="1">
        <f t="shared" si="6"/>
        <v>1.7179568435531622</v>
      </c>
      <c r="BC21" s="1">
        <f t="shared" si="6"/>
        <v>1.7179568435531622</v>
      </c>
      <c r="BD21" s="1">
        <f t="shared" si="6"/>
        <v>1.7179568435531622</v>
      </c>
      <c r="BE21" s="1">
        <f t="shared" si="6"/>
        <v>1.7179568435531622</v>
      </c>
      <c r="BF21" s="1">
        <f t="shared" si="6"/>
        <v>1.7179568435531622</v>
      </c>
      <c r="BG21" s="1">
        <f t="shared" si="6"/>
        <v>1.7179568435531622</v>
      </c>
      <c r="BH21" s="1">
        <f t="shared" si="6"/>
        <v>8.0171319365814249</v>
      </c>
      <c r="BI21" s="1">
        <f t="shared" si="6"/>
        <v>8.0171319365814249</v>
      </c>
      <c r="BJ21" s="1">
        <f t="shared" si="6"/>
        <v>1.1453045623687748</v>
      </c>
      <c r="BK21" s="1">
        <f t="shared" si="6"/>
        <v>1.1453045623687748</v>
      </c>
      <c r="BL21" s="1">
        <f t="shared" si="6"/>
        <v>1.1453045623687748</v>
      </c>
      <c r="BM21" s="1">
        <f t="shared" si="6"/>
        <v>2.2906091247375495</v>
      </c>
      <c r="BN21" s="1">
        <f t="shared" si="6"/>
        <v>3.8176818745625836</v>
      </c>
      <c r="BO21" s="1">
        <f t="shared" si="6"/>
        <v>2.863261405921937</v>
      </c>
      <c r="BP21" s="1">
        <f t="shared" si="6"/>
        <v>4.0085659682907124</v>
      </c>
      <c r="BQ21" s="1">
        <f t="shared" si="5"/>
        <v>1.1453045623687748</v>
      </c>
      <c r="BR21" s="1"/>
      <c r="BS21" s="1"/>
      <c r="BT21" s="1"/>
      <c r="BU21" s="1"/>
      <c r="BV21" s="1"/>
      <c r="BW21" s="1"/>
      <c r="BX21" s="1"/>
      <c r="BY21" s="1"/>
    </row>
    <row r="22" spans="1:77" x14ac:dyDescent="0.2">
      <c r="A22" s="2">
        <v>20</v>
      </c>
      <c r="B22" s="2">
        <v>0</v>
      </c>
      <c r="C22" s="2">
        <v>1.8382582444145352</v>
      </c>
      <c r="D22" s="2">
        <v>1.6544324199730815</v>
      </c>
      <c r="E22" s="2">
        <v>2.2059098932974419</v>
      </c>
      <c r="F22" s="2">
        <v>1.102954946648721</v>
      </c>
      <c r="G22" s="2">
        <v>1.102954946648721</v>
      </c>
      <c r="H22" s="2">
        <v>3.6765164888290705</v>
      </c>
      <c r="I22" s="2">
        <v>3.6765164888290705</v>
      </c>
      <c r="J22" s="2">
        <v>1.102954946648721</v>
      </c>
      <c r="K22" s="2">
        <v>1.102954946648721</v>
      </c>
      <c r="L22" s="2">
        <v>0.82721620998654077</v>
      </c>
      <c r="M22" s="2">
        <v>1.102954946648721</v>
      </c>
      <c r="N22" s="2">
        <v>1.102954946648721</v>
      </c>
      <c r="O22" s="2">
        <v>2.2059098932974419</v>
      </c>
      <c r="P22" s="2">
        <v>1.102954946648721</v>
      </c>
      <c r="Q22" s="2">
        <v>1.102954946648721</v>
      </c>
      <c r="R22" s="2">
        <v>1.102954946648721</v>
      </c>
      <c r="S22" s="2">
        <v>1.6544324199730815</v>
      </c>
      <c r="T22" s="2">
        <v>1.6544324199730815</v>
      </c>
      <c r="U22" s="2">
        <v>1.6544324199730815</v>
      </c>
      <c r="V22" s="2">
        <v>1.6544324199730815</v>
      </c>
      <c r="W22" s="2">
        <v>1.6544324199730815</v>
      </c>
      <c r="X22" s="2">
        <v>1.6544324199730815</v>
      </c>
      <c r="Y22" s="2">
        <v>7.7206846265410478</v>
      </c>
      <c r="Z22" s="2">
        <v>7.7206846265410478</v>
      </c>
      <c r="AA22" s="2">
        <v>1.102954946648721</v>
      </c>
      <c r="AB22" s="2">
        <v>1.102954946648721</v>
      </c>
      <c r="AC22" s="2">
        <v>1.102954946648721</v>
      </c>
      <c r="AD22" s="2">
        <v>2.2059098932974419</v>
      </c>
      <c r="AE22" s="2">
        <v>3.6765164888290705</v>
      </c>
      <c r="AF22" s="2">
        <v>2.7573873666218023</v>
      </c>
      <c r="AG22" s="2">
        <v>3.8603423132705239</v>
      </c>
      <c r="AH22" s="2">
        <v>1.102954946648721</v>
      </c>
      <c r="AI22" s="1">
        <v>68.291293780000004</v>
      </c>
      <c r="AJ22">
        <f t="shared" si="2"/>
        <v>68.291293780000004</v>
      </c>
      <c r="AK22" s="1">
        <f t="shared" si="3"/>
        <v>0</v>
      </c>
      <c r="AL22" s="1">
        <f t="shared" si="3"/>
        <v>1.8382582444145352</v>
      </c>
      <c r="AM22" s="1">
        <f t="shared" si="3"/>
        <v>1.6544324199730815</v>
      </c>
      <c r="AN22" s="1">
        <f t="shared" si="3"/>
        <v>2.2059098932974419</v>
      </c>
      <c r="AO22" s="1">
        <f t="shared" si="3"/>
        <v>1.102954946648721</v>
      </c>
      <c r="AP22" s="1">
        <f t="shared" si="3"/>
        <v>1.102954946648721</v>
      </c>
      <c r="AQ22" s="1">
        <f t="shared" si="3"/>
        <v>3.6765164888290705</v>
      </c>
      <c r="AR22" s="1">
        <f t="shared" si="3"/>
        <v>3.6765164888290705</v>
      </c>
      <c r="AS22" s="1">
        <f t="shared" si="3"/>
        <v>1.102954946648721</v>
      </c>
      <c r="AT22" s="1">
        <f t="shared" si="3"/>
        <v>1.102954946648721</v>
      </c>
      <c r="AU22" s="1">
        <f t="shared" si="3"/>
        <v>0.82721620998654077</v>
      </c>
      <c r="AV22" s="1">
        <f t="shared" si="3"/>
        <v>1.102954946648721</v>
      </c>
      <c r="AW22" s="1">
        <f t="shared" si="3"/>
        <v>1.102954946648721</v>
      </c>
      <c r="AX22" s="1">
        <f t="shared" si="3"/>
        <v>2.2059098932974419</v>
      </c>
      <c r="AY22" s="1">
        <f t="shared" si="3"/>
        <v>1.102954946648721</v>
      </c>
      <c r="AZ22" s="1">
        <f t="shared" si="3"/>
        <v>1.102954946648721</v>
      </c>
      <c r="BA22" s="1">
        <f t="shared" si="6"/>
        <v>1.102954946648721</v>
      </c>
      <c r="BB22" s="1">
        <f t="shared" si="6"/>
        <v>1.6544324199730815</v>
      </c>
      <c r="BC22" s="1">
        <f t="shared" si="6"/>
        <v>1.6544324199730815</v>
      </c>
      <c r="BD22" s="1">
        <f t="shared" si="6"/>
        <v>1.6544324199730815</v>
      </c>
      <c r="BE22" s="1">
        <f t="shared" si="6"/>
        <v>1.6544324199730815</v>
      </c>
      <c r="BF22" s="1">
        <f t="shared" si="6"/>
        <v>1.6544324199730815</v>
      </c>
      <c r="BG22" s="1">
        <f t="shared" si="6"/>
        <v>1.6544324199730815</v>
      </c>
      <c r="BH22" s="1">
        <f t="shared" si="6"/>
        <v>7.7206846265410478</v>
      </c>
      <c r="BI22" s="1">
        <f t="shared" si="6"/>
        <v>7.7206846265410478</v>
      </c>
      <c r="BJ22" s="1">
        <f t="shared" si="6"/>
        <v>1.102954946648721</v>
      </c>
      <c r="BK22" s="1">
        <f t="shared" si="6"/>
        <v>1.102954946648721</v>
      </c>
      <c r="BL22" s="1">
        <f t="shared" si="6"/>
        <v>1.102954946648721</v>
      </c>
      <c r="BM22" s="1">
        <f t="shared" si="6"/>
        <v>2.2059098932974419</v>
      </c>
      <c r="BN22" s="1">
        <f t="shared" si="6"/>
        <v>3.6765164888290705</v>
      </c>
      <c r="BO22" s="1">
        <f t="shared" si="6"/>
        <v>2.7573873666218023</v>
      </c>
      <c r="BP22" s="1">
        <f t="shared" si="6"/>
        <v>3.8603423132705239</v>
      </c>
      <c r="BQ22" s="1">
        <f t="shared" si="5"/>
        <v>1.102954946648721</v>
      </c>
      <c r="BR22" s="1"/>
      <c r="BS22" s="1"/>
      <c r="BT22" s="1"/>
      <c r="BU22" s="1"/>
      <c r="BV22" s="1"/>
      <c r="BW22" s="1"/>
      <c r="BX22" s="1"/>
      <c r="BY22" s="1"/>
    </row>
    <row r="23" spans="1:77" x14ac:dyDescent="0.2">
      <c r="A23" s="2">
        <v>21</v>
      </c>
      <c r="B23" s="2">
        <v>0</v>
      </c>
      <c r="C23" s="2">
        <v>1.7396367386271867</v>
      </c>
      <c r="D23" s="2">
        <v>1.5656730647644677</v>
      </c>
      <c r="E23" s="2">
        <v>2.0875640863526237</v>
      </c>
      <c r="F23" s="2">
        <v>1.0437820431763118</v>
      </c>
      <c r="G23" s="2">
        <v>1.0437820431763118</v>
      </c>
      <c r="H23" s="2">
        <v>3.4792734772543734</v>
      </c>
      <c r="I23" s="2">
        <v>3.4792734772543734</v>
      </c>
      <c r="J23" s="2">
        <v>1.0437820431763118</v>
      </c>
      <c r="K23" s="2">
        <v>1.0437820431763118</v>
      </c>
      <c r="L23" s="2">
        <v>0.78283653238223383</v>
      </c>
      <c r="M23" s="2">
        <v>1.0437820431763118</v>
      </c>
      <c r="N23" s="2">
        <v>1.0437820431763118</v>
      </c>
      <c r="O23" s="2">
        <v>2.0875640863526237</v>
      </c>
      <c r="P23" s="2">
        <v>1.0437820431763118</v>
      </c>
      <c r="Q23" s="2">
        <v>1.0437820431763118</v>
      </c>
      <c r="R23" s="2">
        <v>1.0437820431763118</v>
      </c>
      <c r="S23" s="2">
        <v>1.5656730647644677</v>
      </c>
      <c r="T23" s="2">
        <v>1.5656730647644677</v>
      </c>
      <c r="U23" s="2">
        <v>1.5656730647644677</v>
      </c>
      <c r="V23" s="2">
        <v>1.5656730647644677</v>
      </c>
      <c r="W23" s="2">
        <v>1.5656730647644677</v>
      </c>
      <c r="X23" s="2">
        <v>1.5656730647644677</v>
      </c>
      <c r="Y23" s="2">
        <v>7.3064743022341831</v>
      </c>
      <c r="Z23" s="2">
        <v>7.3064743022341831</v>
      </c>
      <c r="AA23" s="2">
        <v>1.0437820431763118</v>
      </c>
      <c r="AB23" s="2">
        <v>1.0437820431763118</v>
      </c>
      <c r="AC23" s="2">
        <v>1.0437820431763118</v>
      </c>
      <c r="AD23" s="2">
        <v>2.0875640863526237</v>
      </c>
      <c r="AE23" s="2">
        <v>3.4792734772543734</v>
      </c>
      <c r="AF23" s="2">
        <v>2.6094551079407795</v>
      </c>
      <c r="AG23" s="2">
        <v>3.6532371511170916</v>
      </c>
      <c r="AH23" s="2">
        <v>1.0437820431763118</v>
      </c>
      <c r="AI23" s="1">
        <v>64.62750484</v>
      </c>
      <c r="AJ23">
        <f t="shared" si="2"/>
        <v>64.627504839999986</v>
      </c>
      <c r="AK23" s="1">
        <f t="shared" si="3"/>
        <v>0</v>
      </c>
      <c r="AL23" s="1">
        <f t="shared" si="3"/>
        <v>1.7396367386271867</v>
      </c>
      <c r="AM23" s="1">
        <f t="shared" si="3"/>
        <v>1.5656730647644677</v>
      </c>
      <c r="AN23" s="1">
        <f t="shared" si="3"/>
        <v>2.0875640863526237</v>
      </c>
      <c r="AO23" s="1">
        <f t="shared" si="3"/>
        <v>1.0437820431763118</v>
      </c>
      <c r="AP23" s="1">
        <f t="shared" si="3"/>
        <v>1.0437820431763118</v>
      </c>
      <c r="AQ23" s="1">
        <f t="shared" si="3"/>
        <v>3.4792734772543734</v>
      </c>
      <c r="AR23" s="1">
        <f t="shared" si="3"/>
        <v>3.4792734772543734</v>
      </c>
      <c r="AS23" s="1">
        <f t="shared" si="3"/>
        <v>1.0437820431763118</v>
      </c>
      <c r="AT23" s="1">
        <f t="shared" si="3"/>
        <v>1.0437820431763118</v>
      </c>
      <c r="AU23" s="1">
        <f t="shared" si="3"/>
        <v>0.78283653238223383</v>
      </c>
      <c r="AV23" s="1">
        <f t="shared" si="3"/>
        <v>1.0437820431763118</v>
      </c>
      <c r="AW23" s="1">
        <f t="shared" si="3"/>
        <v>1.0437820431763118</v>
      </c>
      <c r="AX23" s="1">
        <f t="shared" si="3"/>
        <v>2.0875640863526237</v>
      </c>
      <c r="AY23" s="1">
        <f t="shared" si="3"/>
        <v>1.0437820431763118</v>
      </c>
      <c r="AZ23" s="1">
        <f t="shared" si="3"/>
        <v>1.0437820431763118</v>
      </c>
      <c r="BA23" s="1">
        <f t="shared" si="6"/>
        <v>1.0437820431763118</v>
      </c>
      <c r="BB23" s="1">
        <f t="shared" si="6"/>
        <v>1.5656730647644677</v>
      </c>
      <c r="BC23" s="1">
        <f t="shared" si="6"/>
        <v>1.5656730647644677</v>
      </c>
      <c r="BD23" s="1">
        <f t="shared" si="6"/>
        <v>1.5656730647644677</v>
      </c>
      <c r="BE23" s="1">
        <f t="shared" si="6"/>
        <v>1.5656730647644677</v>
      </c>
      <c r="BF23" s="1">
        <f t="shared" si="6"/>
        <v>1.5656730647644677</v>
      </c>
      <c r="BG23" s="1">
        <f t="shared" si="6"/>
        <v>1.5656730647644677</v>
      </c>
      <c r="BH23" s="1">
        <f t="shared" si="6"/>
        <v>7.3064743022341831</v>
      </c>
      <c r="BI23" s="1">
        <f t="shared" si="6"/>
        <v>7.3064743022341831</v>
      </c>
      <c r="BJ23" s="1">
        <f t="shared" si="6"/>
        <v>1.0437820431763118</v>
      </c>
      <c r="BK23" s="1">
        <f t="shared" si="6"/>
        <v>1.0437820431763118</v>
      </c>
      <c r="BL23" s="1">
        <f t="shared" si="6"/>
        <v>1.0437820431763118</v>
      </c>
      <c r="BM23" s="1">
        <f t="shared" si="6"/>
        <v>2.0875640863526237</v>
      </c>
      <c r="BN23" s="1">
        <f t="shared" si="6"/>
        <v>3.4792734772543734</v>
      </c>
      <c r="BO23" s="1">
        <f t="shared" si="6"/>
        <v>2.6094551079407795</v>
      </c>
      <c r="BP23" s="1">
        <f t="shared" si="6"/>
        <v>3.6532371511170916</v>
      </c>
      <c r="BQ23" s="1">
        <f t="shared" si="5"/>
        <v>1.0437820431763118</v>
      </c>
      <c r="BR23" s="1"/>
      <c r="BS23" s="1"/>
      <c r="BT23" s="1"/>
      <c r="BU23" s="1"/>
      <c r="BV23" s="1"/>
      <c r="BW23" s="1"/>
      <c r="BX23" s="1"/>
      <c r="BY23" s="1"/>
    </row>
    <row r="24" spans="1:77" x14ac:dyDescent="0.2">
      <c r="A24" s="2">
        <v>22</v>
      </c>
      <c r="B24" s="2">
        <v>0</v>
      </c>
      <c r="C24" s="2">
        <v>1.5962696909825029</v>
      </c>
      <c r="D24" s="2">
        <v>1.4366427218842523</v>
      </c>
      <c r="E24" s="2">
        <v>1.9155236291790032</v>
      </c>
      <c r="F24" s="2">
        <v>0.9577618145895016</v>
      </c>
      <c r="G24" s="2">
        <v>0.9577618145895016</v>
      </c>
      <c r="H24" s="2">
        <v>3.1925393819650059</v>
      </c>
      <c r="I24" s="2">
        <v>3.1925393819650059</v>
      </c>
      <c r="J24" s="2">
        <v>0.9577618145895016</v>
      </c>
      <c r="K24" s="2">
        <v>0.9577618145895016</v>
      </c>
      <c r="L24" s="2">
        <v>0.71832136094212617</v>
      </c>
      <c r="M24" s="2">
        <v>0.9577618145895016</v>
      </c>
      <c r="N24" s="2">
        <v>0.9577618145895016</v>
      </c>
      <c r="O24" s="2">
        <v>1.9155236291790032</v>
      </c>
      <c r="P24" s="2">
        <v>0.9577618145895016</v>
      </c>
      <c r="Q24" s="2">
        <v>0.9577618145895016</v>
      </c>
      <c r="R24" s="2">
        <v>0.9577618145895016</v>
      </c>
      <c r="S24" s="2">
        <v>1.4366427218842523</v>
      </c>
      <c r="T24" s="2">
        <v>1.4366427218842523</v>
      </c>
      <c r="U24" s="2">
        <v>1.4366427218842523</v>
      </c>
      <c r="V24" s="2">
        <v>1.4366427218842523</v>
      </c>
      <c r="W24" s="2">
        <v>1.4366427218842523</v>
      </c>
      <c r="X24" s="2">
        <v>1.4366427218842523</v>
      </c>
      <c r="Y24" s="2">
        <v>6.7043327021265116</v>
      </c>
      <c r="Z24" s="2">
        <v>6.7043327021265116</v>
      </c>
      <c r="AA24" s="2">
        <v>0.9577618145895016</v>
      </c>
      <c r="AB24" s="2">
        <v>0.9577618145895016</v>
      </c>
      <c r="AC24" s="2">
        <v>0.9577618145895016</v>
      </c>
      <c r="AD24" s="2">
        <v>1.9155236291790032</v>
      </c>
      <c r="AE24" s="2">
        <v>3.1925393819650059</v>
      </c>
      <c r="AF24" s="2">
        <v>2.3944045364737541</v>
      </c>
      <c r="AG24" s="2">
        <v>3.3521663510632558</v>
      </c>
      <c r="AH24" s="2">
        <v>0.9577618145895016</v>
      </c>
      <c r="AI24" s="1">
        <v>59.301419019999997</v>
      </c>
      <c r="AJ24">
        <f t="shared" si="2"/>
        <v>59.301419019999976</v>
      </c>
      <c r="AK24" s="1">
        <f t="shared" si="3"/>
        <v>0</v>
      </c>
      <c r="AL24" s="1">
        <f t="shared" si="3"/>
        <v>1.5962696909825029</v>
      </c>
      <c r="AM24" s="1">
        <f t="shared" si="3"/>
        <v>1.4366427218842523</v>
      </c>
      <c r="AN24" s="1">
        <f t="shared" si="3"/>
        <v>1.9155236291790032</v>
      </c>
      <c r="AO24" s="1">
        <f t="shared" si="3"/>
        <v>0.9577618145895016</v>
      </c>
      <c r="AP24" s="1">
        <f t="shared" si="3"/>
        <v>0.9577618145895016</v>
      </c>
      <c r="AQ24" s="1">
        <f t="shared" si="3"/>
        <v>3.1925393819650059</v>
      </c>
      <c r="AR24" s="1">
        <f t="shared" si="3"/>
        <v>3.1925393819650059</v>
      </c>
      <c r="AS24" s="1">
        <f t="shared" si="3"/>
        <v>0.9577618145895016</v>
      </c>
      <c r="AT24" s="1">
        <f t="shared" si="3"/>
        <v>0.9577618145895016</v>
      </c>
      <c r="AU24" s="1">
        <f t="shared" si="3"/>
        <v>0.71832136094212617</v>
      </c>
      <c r="AV24" s="1">
        <f t="shared" si="3"/>
        <v>0.9577618145895016</v>
      </c>
      <c r="AW24" s="1">
        <f t="shared" si="3"/>
        <v>0.9577618145895016</v>
      </c>
      <c r="AX24" s="1">
        <f t="shared" si="3"/>
        <v>1.9155236291790032</v>
      </c>
      <c r="AY24" s="1">
        <f t="shared" si="3"/>
        <v>0.9577618145895016</v>
      </c>
      <c r="AZ24" s="1">
        <f t="shared" si="3"/>
        <v>0.9577618145895016</v>
      </c>
      <c r="BA24" s="1">
        <f t="shared" si="6"/>
        <v>0.9577618145895016</v>
      </c>
      <c r="BB24" s="1">
        <f t="shared" si="6"/>
        <v>1.4366427218842523</v>
      </c>
      <c r="BC24" s="1">
        <f t="shared" si="6"/>
        <v>1.4366427218842523</v>
      </c>
      <c r="BD24" s="1">
        <f t="shared" si="6"/>
        <v>1.4366427218842523</v>
      </c>
      <c r="BE24" s="1">
        <f t="shared" si="6"/>
        <v>1.4366427218842523</v>
      </c>
      <c r="BF24" s="1">
        <f t="shared" si="6"/>
        <v>1.4366427218842523</v>
      </c>
      <c r="BG24" s="1">
        <f t="shared" si="6"/>
        <v>1.4366427218842523</v>
      </c>
      <c r="BH24" s="1">
        <f t="shared" si="6"/>
        <v>6.7043327021265116</v>
      </c>
      <c r="BI24" s="1">
        <f t="shared" si="6"/>
        <v>6.7043327021265116</v>
      </c>
      <c r="BJ24" s="1">
        <f t="shared" si="6"/>
        <v>0.9577618145895016</v>
      </c>
      <c r="BK24" s="1">
        <f t="shared" si="6"/>
        <v>0.9577618145895016</v>
      </c>
      <c r="BL24" s="1">
        <f t="shared" si="6"/>
        <v>0.9577618145895016</v>
      </c>
      <c r="BM24" s="1">
        <f t="shared" si="6"/>
        <v>1.9155236291790032</v>
      </c>
      <c r="BN24" s="1">
        <f t="shared" si="6"/>
        <v>3.1925393819650059</v>
      </c>
      <c r="BO24" s="1">
        <f t="shared" si="6"/>
        <v>2.3944045364737541</v>
      </c>
      <c r="BP24" s="1">
        <f t="shared" si="6"/>
        <v>3.3521663510632558</v>
      </c>
      <c r="BQ24" s="1">
        <f t="shared" si="5"/>
        <v>0.9577618145895016</v>
      </c>
      <c r="BR24" s="1"/>
      <c r="BS24" s="1"/>
      <c r="BT24" s="1"/>
      <c r="BU24" s="1"/>
      <c r="BV24" s="1"/>
      <c r="BW24" s="1"/>
      <c r="BX24" s="1"/>
      <c r="BY24" s="1"/>
    </row>
    <row r="25" spans="1:77" x14ac:dyDescent="0.2">
      <c r="A25" s="2">
        <v>23</v>
      </c>
      <c r="B25" s="2">
        <v>0</v>
      </c>
      <c r="C25" s="2">
        <v>1.5763899784656792</v>
      </c>
      <c r="D25" s="2">
        <v>1.418750980619111</v>
      </c>
      <c r="E25" s="2">
        <v>1.8916679741588147</v>
      </c>
      <c r="F25" s="2">
        <v>0.94583398707940736</v>
      </c>
      <c r="G25" s="2">
        <v>0.94583398707940736</v>
      </c>
      <c r="H25" s="2">
        <v>3.1527799569313584</v>
      </c>
      <c r="I25" s="2">
        <v>3.1527799569313584</v>
      </c>
      <c r="J25" s="2">
        <v>0.94583398707940736</v>
      </c>
      <c r="K25" s="2">
        <v>0.94583398707940736</v>
      </c>
      <c r="L25" s="2">
        <v>0.70937549030955549</v>
      </c>
      <c r="M25" s="2">
        <v>0.94583398707940736</v>
      </c>
      <c r="N25" s="2">
        <v>0.94583398707940736</v>
      </c>
      <c r="O25" s="2">
        <v>1.8916679741588147</v>
      </c>
      <c r="P25" s="2">
        <v>0.94583398707940736</v>
      </c>
      <c r="Q25" s="2">
        <v>0.94583398707940736</v>
      </c>
      <c r="R25" s="2">
        <v>0.94583398707940736</v>
      </c>
      <c r="S25" s="2">
        <v>1.418750980619111</v>
      </c>
      <c r="T25" s="2">
        <v>1.418750980619111</v>
      </c>
      <c r="U25" s="2">
        <v>1.418750980619111</v>
      </c>
      <c r="V25" s="2">
        <v>1.418750980619111</v>
      </c>
      <c r="W25" s="2">
        <v>1.418750980619111</v>
      </c>
      <c r="X25" s="2">
        <v>1.418750980619111</v>
      </c>
      <c r="Y25" s="2">
        <v>6.6208379095558527</v>
      </c>
      <c r="Z25" s="2">
        <v>6.6208379095558527</v>
      </c>
      <c r="AA25" s="2">
        <v>0.94583398707940736</v>
      </c>
      <c r="AB25" s="2">
        <v>0.94583398707940736</v>
      </c>
      <c r="AC25" s="2">
        <v>0.94583398707940736</v>
      </c>
      <c r="AD25" s="2">
        <v>1.8916679741588147</v>
      </c>
      <c r="AE25" s="2">
        <v>3.1527799569313584</v>
      </c>
      <c r="AF25" s="2">
        <v>2.3645849676985184</v>
      </c>
      <c r="AG25" s="2">
        <v>3.3104189547779264</v>
      </c>
      <c r="AH25" s="2">
        <v>0.94583398707940736</v>
      </c>
      <c r="AI25" s="1">
        <v>58.562887699999997</v>
      </c>
      <c r="AJ25">
        <f t="shared" si="2"/>
        <v>58.56288769999999</v>
      </c>
      <c r="AK25" s="1">
        <f t="shared" si="3"/>
        <v>0</v>
      </c>
      <c r="AL25" s="1">
        <f t="shared" si="3"/>
        <v>1.5763899784656792</v>
      </c>
      <c r="AM25" s="1">
        <f t="shared" si="3"/>
        <v>1.418750980619111</v>
      </c>
      <c r="AN25" s="1">
        <f t="shared" si="3"/>
        <v>1.8916679741588147</v>
      </c>
      <c r="AO25" s="1">
        <f t="shared" si="3"/>
        <v>0.94583398707940736</v>
      </c>
      <c r="AP25" s="1">
        <f t="shared" si="3"/>
        <v>0.94583398707940736</v>
      </c>
      <c r="AQ25" s="1">
        <f t="shared" si="3"/>
        <v>3.1527799569313584</v>
      </c>
      <c r="AR25" s="1">
        <f t="shared" si="3"/>
        <v>3.1527799569313584</v>
      </c>
      <c r="AS25" s="1">
        <f t="shared" si="3"/>
        <v>0.94583398707940736</v>
      </c>
      <c r="AT25" s="1">
        <f t="shared" si="3"/>
        <v>0.94583398707940736</v>
      </c>
      <c r="AU25" s="1">
        <f t="shared" si="3"/>
        <v>0.70937549030955549</v>
      </c>
      <c r="AV25" s="1">
        <f t="shared" si="3"/>
        <v>0.94583398707940736</v>
      </c>
      <c r="AW25" s="1">
        <f t="shared" si="3"/>
        <v>0.94583398707940736</v>
      </c>
      <c r="AX25" s="1">
        <f t="shared" si="3"/>
        <v>1.8916679741588147</v>
      </c>
      <c r="AY25" s="1">
        <f t="shared" si="3"/>
        <v>0.94583398707940736</v>
      </c>
      <c r="AZ25" s="1">
        <f t="shared" si="3"/>
        <v>0.94583398707940736</v>
      </c>
      <c r="BA25" s="1">
        <f t="shared" si="6"/>
        <v>0.94583398707940736</v>
      </c>
      <c r="BB25" s="1">
        <f t="shared" si="6"/>
        <v>1.418750980619111</v>
      </c>
      <c r="BC25" s="1">
        <f t="shared" si="6"/>
        <v>1.418750980619111</v>
      </c>
      <c r="BD25" s="1">
        <f t="shared" si="6"/>
        <v>1.418750980619111</v>
      </c>
      <c r="BE25" s="1">
        <f t="shared" si="6"/>
        <v>1.418750980619111</v>
      </c>
      <c r="BF25" s="1">
        <f t="shared" si="6"/>
        <v>1.418750980619111</v>
      </c>
      <c r="BG25" s="1">
        <f t="shared" si="6"/>
        <v>1.418750980619111</v>
      </c>
      <c r="BH25" s="1">
        <f t="shared" si="6"/>
        <v>6.6208379095558527</v>
      </c>
      <c r="BI25" s="1">
        <f t="shared" si="6"/>
        <v>6.6208379095558527</v>
      </c>
      <c r="BJ25" s="1">
        <f t="shared" si="6"/>
        <v>0.94583398707940736</v>
      </c>
      <c r="BK25" s="1">
        <f t="shared" si="6"/>
        <v>0.94583398707940736</v>
      </c>
      <c r="BL25" s="1">
        <f t="shared" si="6"/>
        <v>0.94583398707940736</v>
      </c>
      <c r="BM25" s="1">
        <f t="shared" si="6"/>
        <v>1.8916679741588147</v>
      </c>
      <c r="BN25" s="1">
        <f t="shared" si="6"/>
        <v>3.1527799569313584</v>
      </c>
      <c r="BO25" s="1">
        <f t="shared" si="6"/>
        <v>2.3645849676985184</v>
      </c>
      <c r="BP25" s="1">
        <f t="shared" si="6"/>
        <v>3.3104189547779264</v>
      </c>
      <c r="BQ25" s="1">
        <f t="shared" si="5"/>
        <v>0.94583398707940736</v>
      </c>
      <c r="BR25" s="1"/>
      <c r="BS25" s="1"/>
      <c r="BT25" s="1"/>
      <c r="BU25" s="1"/>
      <c r="BV25" s="1"/>
      <c r="BW25" s="1"/>
      <c r="BX25" s="1"/>
      <c r="BY25" s="1"/>
    </row>
    <row r="26" spans="1:77" x14ac:dyDescent="0.2">
      <c r="A26" s="2">
        <v>24</v>
      </c>
      <c r="B26" s="2">
        <v>0</v>
      </c>
      <c r="C26" s="2">
        <v>1.612393627456258</v>
      </c>
      <c r="D26" s="2">
        <v>1.4511542647106319</v>
      </c>
      <c r="E26" s="2">
        <v>1.9348723529475091</v>
      </c>
      <c r="F26" s="2">
        <v>0.96743617647375457</v>
      </c>
      <c r="G26" s="2">
        <v>0.96743617647375457</v>
      </c>
      <c r="H26" s="2">
        <v>3.2247872549125161</v>
      </c>
      <c r="I26" s="2">
        <v>3.2247872549125161</v>
      </c>
      <c r="J26" s="2">
        <v>0.96743617647375457</v>
      </c>
      <c r="K26" s="2">
        <v>0.96743617647375457</v>
      </c>
      <c r="L26" s="2">
        <v>0.72557713235531596</v>
      </c>
      <c r="M26" s="2">
        <v>0.96743617647375457</v>
      </c>
      <c r="N26" s="2">
        <v>0.96743617647375457</v>
      </c>
      <c r="O26" s="2">
        <v>1.9348723529475091</v>
      </c>
      <c r="P26" s="2">
        <v>0.96743617647375457</v>
      </c>
      <c r="Q26" s="2">
        <v>0.96743617647375457</v>
      </c>
      <c r="R26" s="2">
        <v>0.96743617647375457</v>
      </c>
      <c r="S26" s="2">
        <v>1.4511542647106319</v>
      </c>
      <c r="T26" s="2">
        <v>1.4511542647106319</v>
      </c>
      <c r="U26" s="2">
        <v>1.4511542647106319</v>
      </c>
      <c r="V26" s="2">
        <v>1.4511542647106319</v>
      </c>
      <c r="W26" s="2">
        <v>1.4511542647106319</v>
      </c>
      <c r="X26" s="2">
        <v>1.4511542647106319</v>
      </c>
      <c r="Y26" s="2">
        <v>6.7720532353162826</v>
      </c>
      <c r="Z26" s="2">
        <v>6.7720532353162826</v>
      </c>
      <c r="AA26" s="2">
        <v>0.96743617647375457</v>
      </c>
      <c r="AB26" s="2">
        <v>0.96743617647375457</v>
      </c>
      <c r="AC26" s="2">
        <v>0.96743617647375457</v>
      </c>
      <c r="AD26" s="2">
        <v>1.9348723529475091</v>
      </c>
      <c r="AE26" s="2">
        <v>3.2247872549125161</v>
      </c>
      <c r="AF26" s="2">
        <v>2.4185904411843864</v>
      </c>
      <c r="AG26" s="2">
        <v>3.3860266176581413</v>
      </c>
      <c r="AH26" s="2">
        <v>0.96743617647375457</v>
      </c>
      <c r="AI26" s="1">
        <v>59.900423259999997</v>
      </c>
      <c r="AJ26">
        <f t="shared" si="2"/>
        <v>59.900423259999961</v>
      </c>
      <c r="AK26" s="1">
        <f>$AI26*AK$2</f>
        <v>0</v>
      </c>
      <c r="AL26" s="1">
        <f t="shared" ref="AL26:BQ26" si="7">$AI26*AL$2</f>
        <v>1.612393627456258</v>
      </c>
      <c r="AM26" s="1">
        <f t="shared" si="7"/>
        <v>1.4511542647106319</v>
      </c>
      <c r="AN26" s="1">
        <f t="shared" si="7"/>
        <v>1.9348723529475091</v>
      </c>
      <c r="AO26" s="1">
        <f t="shared" si="7"/>
        <v>0.96743617647375457</v>
      </c>
      <c r="AP26" s="1">
        <f t="shared" si="7"/>
        <v>0.96743617647375457</v>
      </c>
      <c r="AQ26" s="1">
        <f t="shared" si="7"/>
        <v>3.2247872549125161</v>
      </c>
      <c r="AR26" s="1">
        <f t="shared" si="7"/>
        <v>3.2247872549125161</v>
      </c>
      <c r="AS26" s="1">
        <f t="shared" si="7"/>
        <v>0.96743617647375457</v>
      </c>
      <c r="AT26" s="1">
        <f t="shared" si="7"/>
        <v>0.96743617647375457</v>
      </c>
      <c r="AU26" s="1">
        <f t="shared" si="7"/>
        <v>0.72557713235531596</v>
      </c>
      <c r="AV26" s="1">
        <f t="shared" si="7"/>
        <v>0.96743617647375457</v>
      </c>
      <c r="AW26" s="1">
        <f t="shared" si="7"/>
        <v>0.96743617647375457</v>
      </c>
      <c r="AX26" s="1">
        <f t="shared" si="7"/>
        <v>1.9348723529475091</v>
      </c>
      <c r="AY26" s="1">
        <f t="shared" si="7"/>
        <v>0.96743617647375457</v>
      </c>
      <c r="AZ26" s="1">
        <f t="shared" si="7"/>
        <v>0.96743617647375457</v>
      </c>
      <c r="BA26" s="1">
        <f t="shared" si="7"/>
        <v>0.96743617647375457</v>
      </c>
      <c r="BB26" s="1">
        <f t="shared" si="7"/>
        <v>1.4511542647106319</v>
      </c>
      <c r="BC26" s="1">
        <f t="shared" si="7"/>
        <v>1.4511542647106319</v>
      </c>
      <c r="BD26" s="1">
        <f t="shared" si="7"/>
        <v>1.4511542647106319</v>
      </c>
      <c r="BE26" s="1">
        <f t="shared" si="7"/>
        <v>1.4511542647106319</v>
      </c>
      <c r="BF26" s="1">
        <f t="shared" si="7"/>
        <v>1.4511542647106319</v>
      </c>
      <c r="BG26" s="1">
        <f t="shared" si="7"/>
        <v>1.4511542647106319</v>
      </c>
      <c r="BH26" s="1">
        <f t="shared" si="7"/>
        <v>6.7720532353162826</v>
      </c>
      <c r="BI26" s="1">
        <f t="shared" si="7"/>
        <v>6.7720532353162826</v>
      </c>
      <c r="BJ26" s="1">
        <f t="shared" si="7"/>
        <v>0.96743617647375457</v>
      </c>
      <c r="BK26" s="1">
        <f t="shared" si="7"/>
        <v>0.96743617647375457</v>
      </c>
      <c r="BL26" s="1">
        <f t="shared" si="7"/>
        <v>0.96743617647375457</v>
      </c>
      <c r="BM26" s="1">
        <f t="shared" si="7"/>
        <v>1.9348723529475091</v>
      </c>
      <c r="BN26" s="1">
        <f t="shared" si="7"/>
        <v>3.2247872549125161</v>
      </c>
      <c r="BO26" s="1">
        <f t="shared" si="7"/>
        <v>2.4185904411843864</v>
      </c>
      <c r="BP26" s="1">
        <f t="shared" si="7"/>
        <v>3.3860266176581413</v>
      </c>
      <c r="BQ26" s="1">
        <f t="shared" si="7"/>
        <v>0.96743617647375457</v>
      </c>
      <c r="BR26" s="1"/>
      <c r="BS26" s="1"/>
      <c r="BT26" s="1"/>
      <c r="BU26" s="1"/>
      <c r="BV26" s="1"/>
      <c r="BW26" s="1"/>
      <c r="BX26" s="1"/>
      <c r="BY26" s="1"/>
    </row>
    <row r="29" spans="1:77" ht="23.25" x14ac:dyDescent="0.2">
      <c r="A29" s="45" t="s">
        <v>59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AK29">
        <v>0</v>
      </c>
      <c r="AL29">
        <v>0.06</v>
      </c>
      <c r="AM29">
        <v>0.04</v>
      </c>
      <c r="AN29">
        <v>0.08</v>
      </c>
      <c r="AO29">
        <v>0.03</v>
      </c>
      <c r="AP29">
        <v>0.02</v>
      </c>
      <c r="AQ29">
        <v>0.1</v>
      </c>
      <c r="AR29">
        <v>0.1</v>
      </c>
      <c r="AS29">
        <v>0.02</v>
      </c>
      <c r="AT29">
        <v>0.02</v>
      </c>
      <c r="AU29">
        <v>0.03</v>
      </c>
      <c r="AV29">
        <v>3.5000000000000003E-2</v>
      </c>
      <c r="AW29">
        <v>3.5000000000000003E-2</v>
      </c>
      <c r="AX29">
        <v>0.08</v>
      </c>
      <c r="AY29">
        <v>0.01</v>
      </c>
      <c r="AZ29">
        <v>0.02</v>
      </c>
      <c r="BA29">
        <v>0.02</v>
      </c>
      <c r="BB29">
        <v>0.04</v>
      </c>
      <c r="BC29">
        <v>0.04</v>
      </c>
      <c r="BD29">
        <v>0.04</v>
      </c>
      <c r="BE29">
        <v>0.04</v>
      </c>
      <c r="BF29">
        <v>0.04</v>
      </c>
      <c r="BG29">
        <v>0.05</v>
      </c>
      <c r="BH29">
        <v>0.2</v>
      </c>
      <c r="BI29">
        <v>0.2</v>
      </c>
      <c r="BJ29">
        <v>2.5000000000000001E-2</v>
      </c>
      <c r="BK29">
        <v>2.5000000000000001E-2</v>
      </c>
      <c r="BL29">
        <v>0.02</v>
      </c>
      <c r="BM29">
        <v>7.0000000000000007E-2</v>
      </c>
      <c r="BN29">
        <v>0.6</v>
      </c>
      <c r="BO29">
        <v>7.0000000000000007E-2</v>
      </c>
      <c r="BP29">
        <v>0.1</v>
      </c>
      <c r="BQ29">
        <v>0.04</v>
      </c>
    </row>
    <row r="30" spans="1:77" x14ac:dyDescent="0.2">
      <c r="A30" s="2" t="s">
        <v>0</v>
      </c>
      <c r="B30" s="2" t="s">
        <v>11</v>
      </c>
      <c r="C30" s="2" t="s">
        <v>12</v>
      </c>
      <c r="D30" s="2" t="s">
        <v>13</v>
      </c>
      <c r="E30" s="2" t="s">
        <v>14</v>
      </c>
      <c r="F30" s="2" t="s">
        <v>15</v>
      </c>
      <c r="G30" s="2" t="s">
        <v>16</v>
      </c>
      <c r="H30" s="2" t="s">
        <v>17</v>
      </c>
      <c r="I30" s="2" t="s">
        <v>18</v>
      </c>
      <c r="J30" s="2" t="s">
        <v>19</v>
      </c>
      <c r="K30" s="2" t="s">
        <v>20</v>
      </c>
      <c r="L30" s="2" t="s">
        <v>21</v>
      </c>
      <c r="M30" s="2" t="s">
        <v>22</v>
      </c>
      <c r="N30" s="2" t="s">
        <v>23</v>
      </c>
      <c r="O30" s="2" t="s">
        <v>24</v>
      </c>
      <c r="P30" s="2" t="s">
        <v>25</v>
      </c>
      <c r="Q30" s="2" t="s">
        <v>26</v>
      </c>
      <c r="R30" s="2" t="s">
        <v>27</v>
      </c>
      <c r="S30" s="2" t="s">
        <v>28</v>
      </c>
      <c r="T30" s="2" t="s">
        <v>29</v>
      </c>
      <c r="U30" s="2" t="s">
        <v>30</v>
      </c>
      <c r="V30" s="2" t="s">
        <v>31</v>
      </c>
      <c r="W30" s="2" t="s">
        <v>32</v>
      </c>
      <c r="X30" s="2" t="s">
        <v>33</v>
      </c>
      <c r="Y30" s="2" t="s">
        <v>34</v>
      </c>
      <c r="Z30" s="2" t="s">
        <v>35</v>
      </c>
      <c r="AA30" s="2" t="s">
        <v>36</v>
      </c>
      <c r="AB30" s="2" t="s">
        <v>37</v>
      </c>
      <c r="AC30" s="2" t="s">
        <v>38</v>
      </c>
      <c r="AD30" s="2" t="s">
        <v>39</v>
      </c>
      <c r="AE30" s="2" t="s">
        <v>40</v>
      </c>
      <c r="AF30" s="2" t="s">
        <v>41</v>
      </c>
      <c r="AG30" s="2" t="s">
        <v>42</v>
      </c>
      <c r="AH30" s="2" t="s">
        <v>43</v>
      </c>
      <c r="AK30">
        <f>AK29/SUM($AK$29:$BQ$29)</f>
        <v>0</v>
      </c>
      <c r="AL30">
        <f t="shared" ref="AL30:BQ30" si="8">AL29/SUM($AK$29:$BQ$29)</f>
        <v>2.6086956521739126E-2</v>
      </c>
      <c r="AM30">
        <f t="shared" si="8"/>
        <v>1.7391304347826084E-2</v>
      </c>
      <c r="AN30">
        <f t="shared" si="8"/>
        <v>3.4782608695652167E-2</v>
      </c>
      <c r="AO30">
        <f t="shared" si="8"/>
        <v>1.3043478260869563E-2</v>
      </c>
      <c r="AP30">
        <f t="shared" si="8"/>
        <v>8.6956521739130418E-3</v>
      </c>
      <c r="AQ30">
        <f t="shared" si="8"/>
        <v>4.3478260869565216E-2</v>
      </c>
      <c r="AR30">
        <f t="shared" si="8"/>
        <v>4.3478260869565216E-2</v>
      </c>
      <c r="AS30">
        <f t="shared" si="8"/>
        <v>8.6956521739130418E-3</v>
      </c>
      <c r="AT30">
        <f t="shared" si="8"/>
        <v>8.6956521739130418E-3</v>
      </c>
      <c r="AU30">
        <f t="shared" si="8"/>
        <v>1.3043478260869563E-2</v>
      </c>
      <c r="AV30">
        <f t="shared" si="8"/>
        <v>1.5217391304347825E-2</v>
      </c>
      <c r="AW30">
        <f t="shared" si="8"/>
        <v>1.5217391304347825E-2</v>
      </c>
      <c r="AX30">
        <f t="shared" si="8"/>
        <v>3.4782608695652167E-2</v>
      </c>
      <c r="AY30">
        <f t="shared" si="8"/>
        <v>4.3478260869565209E-3</v>
      </c>
      <c r="AZ30">
        <f t="shared" si="8"/>
        <v>8.6956521739130418E-3</v>
      </c>
      <c r="BA30">
        <f t="shared" si="8"/>
        <v>8.6956521739130418E-3</v>
      </c>
      <c r="BB30">
        <f t="shared" si="8"/>
        <v>1.7391304347826084E-2</v>
      </c>
      <c r="BC30">
        <f t="shared" si="8"/>
        <v>1.7391304347826084E-2</v>
      </c>
      <c r="BD30">
        <f t="shared" si="8"/>
        <v>1.7391304347826084E-2</v>
      </c>
      <c r="BE30">
        <f t="shared" si="8"/>
        <v>1.7391304347826084E-2</v>
      </c>
      <c r="BF30">
        <f t="shared" si="8"/>
        <v>1.7391304347826084E-2</v>
      </c>
      <c r="BG30">
        <f t="shared" si="8"/>
        <v>2.1739130434782608E-2</v>
      </c>
      <c r="BH30">
        <f t="shared" si="8"/>
        <v>8.6956521739130432E-2</v>
      </c>
      <c r="BI30">
        <f t="shared" si="8"/>
        <v>8.6956521739130432E-2</v>
      </c>
      <c r="BJ30">
        <f t="shared" si="8"/>
        <v>1.0869565217391304E-2</v>
      </c>
      <c r="BK30">
        <f t="shared" si="8"/>
        <v>1.0869565217391304E-2</v>
      </c>
      <c r="BL30">
        <f t="shared" si="8"/>
        <v>8.6956521739130418E-3</v>
      </c>
      <c r="BM30">
        <f t="shared" si="8"/>
        <v>3.043478260869565E-2</v>
      </c>
      <c r="BN30">
        <f t="shared" si="8"/>
        <v>0.26086956521739124</v>
      </c>
      <c r="BO30">
        <f t="shared" si="8"/>
        <v>3.043478260869565E-2</v>
      </c>
      <c r="BP30">
        <f t="shared" si="8"/>
        <v>4.3478260869565216E-2</v>
      </c>
      <c r="BQ30">
        <f t="shared" si="8"/>
        <v>1.7391304347826084E-2</v>
      </c>
    </row>
    <row r="31" spans="1:77" x14ac:dyDescent="0.2">
      <c r="A31" s="2">
        <v>1</v>
      </c>
      <c r="B31" s="2">
        <v>0</v>
      </c>
      <c r="C31" s="2">
        <v>0.2026416402592611</v>
      </c>
      <c r="D31" s="2">
        <v>0.1350944268395074</v>
      </c>
      <c r="E31" s="2">
        <v>0.2701888536790148</v>
      </c>
      <c r="F31" s="2">
        <v>0.10132082012963055</v>
      </c>
      <c r="G31" s="2">
        <v>6.7547213419753699E-2</v>
      </c>
      <c r="H31" s="2">
        <v>0.33773606709876858</v>
      </c>
      <c r="I31" s="2">
        <v>0.33773606709876858</v>
      </c>
      <c r="J31" s="2">
        <v>6.7547213419753699E-2</v>
      </c>
      <c r="K31" s="2">
        <v>6.7547213419753699E-2</v>
      </c>
      <c r="L31" s="2">
        <v>0.10132082012963055</v>
      </c>
      <c r="M31" s="2">
        <v>0.11820762348456899</v>
      </c>
      <c r="N31" s="2">
        <v>0.11820762348456899</v>
      </c>
      <c r="O31" s="2">
        <v>0.2701888536790148</v>
      </c>
      <c r="P31" s="2">
        <v>3.3773606709876849E-2</v>
      </c>
      <c r="Q31" s="2">
        <v>6.7547213419753699E-2</v>
      </c>
      <c r="R31" s="2">
        <v>6.7547213419753699E-2</v>
      </c>
      <c r="S31" s="2">
        <v>0.1350944268395074</v>
      </c>
      <c r="T31" s="2">
        <v>0.1350944268395074</v>
      </c>
      <c r="U31" s="2">
        <v>0.1350944268395074</v>
      </c>
      <c r="V31" s="2">
        <v>0.1350944268395074</v>
      </c>
      <c r="W31" s="2">
        <v>0.1350944268395074</v>
      </c>
      <c r="X31" s="2">
        <v>0.16886803354938429</v>
      </c>
      <c r="Y31" s="2">
        <v>0.67547213419753716</v>
      </c>
      <c r="Z31" s="2">
        <v>0.67547213419753716</v>
      </c>
      <c r="AA31" s="2">
        <v>8.4434016774692144E-2</v>
      </c>
      <c r="AB31" s="2">
        <v>8.4434016774692144E-2</v>
      </c>
      <c r="AC31" s="2">
        <v>6.7547213419753699E-2</v>
      </c>
      <c r="AD31" s="2">
        <v>0.23641524696913799</v>
      </c>
      <c r="AE31" s="2">
        <v>2.026416402592611</v>
      </c>
      <c r="AF31" s="2">
        <v>0.23641524696913799</v>
      </c>
      <c r="AG31" s="2">
        <v>0.33773606709876858</v>
      </c>
      <c r="AH31" s="2">
        <v>0.1350944268395074</v>
      </c>
      <c r="AI31" s="1">
        <v>7.7679295432716771</v>
      </c>
      <c r="AJ31">
        <f>SUM(B31:AH31)</f>
        <v>7.7679295432716753</v>
      </c>
      <c r="AK31">
        <f>$AI31*AK$30</f>
        <v>0</v>
      </c>
      <c r="AL31">
        <f>$AI31*AL$30</f>
        <v>0.2026416402592611</v>
      </c>
      <c r="AM31">
        <f t="shared" ref="AM31:BQ39" si="9">$AI31*AM$30</f>
        <v>0.1350944268395074</v>
      </c>
      <c r="AN31">
        <f t="shared" si="9"/>
        <v>0.2701888536790148</v>
      </c>
      <c r="AO31">
        <f t="shared" si="9"/>
        <v>0.10132082012963055</v>
      </c>
      <c r="AP31">
        <f t="shared" si="9"/>
        <v>6.7547213419753699E-2</v>
      </c>
      <c r="AQ31">
        <f t="shared" si="9"/>
        <v>0.33773606709876858</v>
      </c>
      <c r="AR31">
        <f t="shared" si="9"/>
        <v>0.33773606709876858</v>
      </c>
      <c r="AS31">
        <f t="shared" si="9"/>
        <v>6.7547213419753699E-2</v>
      </c>
      <c r="AT31">
        <f t="shared" si="9"/>
        <v>6.7547213419753699E-2</v>
      </c>
      <c r="AU31">
        <f t="shared" si="9"/>
        <v>0.10132082012963055</v>
      </c>
      <c r="AV31">
        <f t="shared" si="9"/>
        <v>0.11820762348456899</v>
      </c>
      <c r="AW31">
        <f t="shared" si="9"/>
        <v>0.11820762348456899</v>
      </c>
      <c r="AX31">
        <f t="shared" si="9"/>
        <v>0.2701888536790148</v>
      </c>
      <c r="AY31">
        <f t="shared" si="9"/>
        <v>3.3773606709876849E-2</v>
      </c>
      <c r="AZ31">
        <f t="shared" si="9"/>
        <v>6.7547213419753699E-2</v>
      </c>
      <c r="BA31">
        <f t="shared" si="9"/>
        <v>6.7547213419753699E-2</v>
      </c>
      <c r="BB31">
        <f t="shared" si="9"/>
        <v>0.1350944268395074</v>
      </c>
      <c r="BC31">
        <f t="shared" si="9"/>
        <v>0.1350944268395074</v>
      </c>
      <c r="BD31">
        <f t="shared" si="9"/>
        <v>0.1350944268395074</v>
      </c>
      <c r="BE31">
        <f t="shared" si="9"/>
        <v>0.1350944268395074</v>
      </c>
      <c r="BF31">
        <f t="shared" si="9"/>
        <v>0.1350944268395074</v>
      </c>
      <c r="BG31">
        <f t="shared" si="9"/>
        <v>0.16886803354938429</v>
      </c>
      <c r="BH31">
        <f t="shared" si="9"/>
        <v>0.67547213419753716</v>
      </c>
      <c r="BI31">
        <f t="shared" si="9"/>
        <v>0.67547213419753716</v>
      </c>
      <c r="BJ31">
        <f t="shared" si="9"/>
        <v>8.4434016774692144E-2</v>
      </c>
      <c r="BK31">
        <f t="shared" si="9"/>
        <v>8.4434016774692144E-2</v>
      </c>
      <c r="BL31">
        <f t="shared" si="9"/>
        <v>6.7547213419753699E-2</v>
      </c>
      <c r="BM31">
        <f t="shared" si="9"/>
        <v>0.23641524696913799</v>
      </c>
      <c r="BN31">
        <f t="shared" si="9"/>
        <v>2.026416402592611</v>
      </c>
      <c r="BO31">
        <f t="shared" si="9"/>
        <v>0.23641524696913799</v>
      </c>
      <c r="BP31">
        <f t="shared" si="9"/>
        <v>0.33773606709876858</v>
      </c>
      <c r="BQ31">
        <f t="shared" si="9"/>
        <v>0.1350944268395074</v>
      </c>
    </row>
    <row r="32" spans="1:77" x14ac:dyDescent="0.2">
      <c r="A32" s="2">
        <v>2</v>
      </c>
      <c r="B32" s="2">
        <v>0</v>
      </c>
      <c r="C32" s="2">
        <v>0.20804602490840615</v>
      </c>
      <c r="D32" s="2">
        <v>0.13869734993893743</v>
      </c>
      <c r="E32" s="2">
        <v>0.27739469987787485</v>
      </c>
      <c r="F32" s="2">
        <v>0.10402301245420308</v>
      </c>
      <c r="G32" s="2">
        <v>6.9348674969468713E-2</v>
      </c>
      <c r="H32" s="2">
        <v>0.34674337484734363</v>
      </c>
      <c r="I32" s="2">
        <v>0.34674337484734363</v>
      </c>
      <c r="J32" s="2">
        <v>6.9348674969468713E-2</v>
      </c>
      <c r="K32" s="2">
        <v>6.9348674969468713E-2</v>
      </c>
      <c r="L32" s="2">
        <v>0.10402301245420308</v>
      </c>
      <c r="M32" s="2">
        <v>0.12136018119657027</v>
      </c>
      <c r="N32" s="2">
        <v>0.12136018119657027</v>
      </c>
      <c r="O32" s="2">
        <v>0.27739469987787485</v>
      </c>
      <c r="P32" s="2">
        <v>3.4674337484734356E-2</v>
      </c>
      <c r="Q32" s="2">
        <v>6.9348674969468713E-2</v>
      </c>
      <c r="R32" s="2">
        <v>6.9348674969468713E-2</v>
      </c>
      <c r="S32" s="2">
        <v>0.13869734993893743</v>
      </c>
      <c r="T32" s="2">
        <v>0.13869734993893743</v>
      </c>
      <c r="U32" s="2">
        <v>0.13869734993893743</v>
      </c>
      <c r="V32" s="2">
        <v>0.13869734993893743</v>
      </c>
      <c r="W32" s="2">
        <v>0.13869734993893743</v>
      </c>
      <c r="X32" s="2">
        <v>0.17337168742367182</v>
      </c>
      <c r="Y32" s="2">
        <v>0.69348674969468727</v>
      </c>
      <c r="Z32" s="2">
        <v>0.69348674969468727</v>
      </c>
      <c r="AA32" s="2">
        <v>8.6685843711835908E-2</v>
      </c>
      <c r="AB32" s="2">
        <v>8.6685843711835908E-2</v>
      </c>
      <c r="AC32" s="2">
        <v>6.9348674969468713E-2</v>
      </c>
      <c r="AD32" s="2">
        <v>0.24272036239314054</v>
      </c>
      <c r="AE32" s="2">
        <v>2.0804602490840614</v>
      </c>
      <c r="AF32" s="2">
        <v>0.24272036239314054</v>
      </c>
      <c r="AG32" s="2">
        <v>0.34674337484734363</v>
      </c>
      <c r="AH32" s="2">
        <v>0.13869734993893743</v>
      </c>
      <c r="AI32" s="1">
        <v>7.9750976214889038</v>
      </c>
      <c r="AJ32">
        <f t="shared" ref="AJ32:AJ54" si="10">SUM(B32:AH32)</f>
        <v>7.9750976214889011</v>
      </c>
      <c r="AK32">
        <f t="shared" ref="AK32:AZ54" si="11">$AI32*AK$30</f>
        <v>0</v>
      </c>
      <c r="AL32">
        <f t="shared" si="11"/>
        <v>0.20804602490840615</v>
      </c>
      <c r="AM32">
        <f t="shared" si="11"/>
        <v>0.13869734993893743</v>
      </c>
      <c r="AN32">
        <f t="shared" si="11"/>
        <v>0.27739469987787485</v>
      </c>
      <c r="AO32">
        <f t="shared" si="11"/>
        <v>0.10402301245420308</v>
      </c>
      <c r="AP32">
        <f t="shared" si="11"/>
        <v>6.9348674969468713E-2</v>
      </c>
      <c r="AQ32">
        <f t="shared" si="11"/>
        <v>0.34674337484734363</v>
      </c>
      <c r="AR32">
        <f t="shared" si="11"/>
        <v>0.34674337484734363</v>
      </c>
      <c r="AS32">
        <f t="shared" si="11"/>
        <v>6.9348674969468713E-2</v>
      </c>
      <c r="AT32">
        <f t="shared" si="11"/>
        <v>6.9348674969468713E-2</v>
      </c>
      <c r="AU32">
        <f t="shared" si="11"/>
        <v>0.10402301245420308</v>
      </c>
      <c r="AV32">
        <f t="shared" si="11"/>
        <v>0.12136018119657027</v>
      </c>
      <c r="AW32">
        <f t="shared" si="11"/>
        <v>0.12136018119657027</v>
      </c>
      <c r="AX32">
        <f t="shared" si="11"/>
        <v>0.27739469987787485</v>
      </c>
      <c r="AY32">
        <f t="shared" si="11"/>
        <v>3.4674337484734356E-2</v>
      </c>
      <c r="AZ32">
        <f t="shared" si="11"/>
        <v>6.9348674969468713E-2</v>
      </c>
      <c r="BA32">
        <f t="shared" si="9"/>
        <v>6.9348674969468713E-2</v>
      </c>
      <c r="BB32">
        <f t="shared" si="9"/>
        <v>0.13869734993893743</v>
      </c>
      <c r="BC32">
        <f t="shared" si="9"/>
        <v>0.13869734993893743</v>
      </c>
      <c r="BD32">
        <f t="shared" si="9"/>
        <v>0.13869734993893743</v>
      </c>
      <c r="BE32">
        <f t="shared" si="9"/>
        <v>0.13869734993893743</v>
      </c>
      <c r="BF32">
        <f t="shared" si="9"/>
        <v>0.13869734993893743</v>
      </c>
      <c r="BG32">
        <f t="shared" si="9"/>
        <v>0.17337168742367182</v>
      </c>
      <c r="BH32">
        <f t="shared" si="9"/>
        <v>0.69348674969468727</v>
      </c>
      <c r="BI32">
        <f t="shared" si="9"/>
        <v>0.69348674969468727</v>
      </c>
      <c r="BJ32">
        <f t="shared" si="9"/>
        <v>8.6685843711835908E-2</v>
      </c>
      <c r="BK32">
        <f t="shared" si="9"/>
        <v>8.6685843711835908E-2</v>
      </c>
      <c r="BL32">
        <f t="shared" si="9"/>
        <v>6.9348674969468713E-2</v>
      </c>
      <c r="BM32">
        <f t="shared" si="9"/>
        <v>0.24272036239314054</v>
      </c>
      <c r="BN32">
        <f t="shared" si="9"/>
        <v>2.0804602490840614</v>
      </c>
      <c r="BO32">
        <f t="shared" si="9"/>
        <v>0.24272036239314054</v>
      </c>
      <c r="BP32">
        <f t="shared" si="9"/>
        <v>0.34674337484734363</v>
      </c>
      <c r="BQ32">
        <f t="shared" si="9"/>
        <v>0.13869734993893743</v>
      </c>
    </row>
    <row r="33" spans="1:69" x14ac:dyDescent="0.2">
      <c r="A33" s="2">
        <v>3</v>
      </c>
      <c r="B33" s="2">
        <v>0</v>
      </c>
      <c r="C33" s="2">
        <v>0.20755388870089556</v>
      </c>
      <c r="D33" s="2">
        <v>0.13836925913393036</v>
      </c>
      <c r="E33" s="2">
        <v>0.27673851826786072</v>
      </c>
      <c r="F33" s="2">
        <v>0.10377694435044778</v>
      </c>
      <c r="G33" s="2">
        <v>6.9184629566965181E-2</v>
      </c>
      <c r="H33" s="2">
        <v>0.34592314783482597</v>
      </c>
      <c r="I33" s="2">
        <v>0.34592314783482597</v>
      </c>
      <c r="J33" s="2">
        <v>6.9184629566965181E-2</v>
      </c>
      <c r="K33" s="2">
        <v>6.9184629566965181E-2</v>
      </c>
      <c r="L33" s="2">
        <v>0.10377694435044778</v>
      </c>
      <c r="M33" s="2">
        <v>0.12107310174218909</v>
      </c>
      <c r="N33" s="2">
        <v>0.12107310174218909</v>
      </c>
      <c r="O33" s="2">
        <v>0.27673851826786072</v>
      </c>
      <c r="P33" s="2">
        <v>3.459231478348259E-2</v>
      </c>
      <c r="Q33" s="2">
        <v>6.9184629566965181E-2</v>
      </c>
      <c r="R33" s="2">
        <v>6.9184629566965181E-2</v>
      </c>
      <c r="S33" s="2">
        <v>0.13836925913393036</v>
      </c>
      <c r="T33" s="2">
        <v>0.13836925913393036</v>
      </c>
      <c r="U33" s="2">
        <v>0.13836925913393036</v>
      </c>
      <c r="V33" s="2">
        <v>0.13836925913393036</v>
      </c>
      <c r="W33" s="2">
        <v>0.13836925913393036</v>
      </c>
      <c r="X33" s="2">
        <v>0.17296157391741299</v>
      </c>
      <c r="Y33" s="2">
        <v>0.69184629566965195</v>
      </c>
      <c r="Z33" s="2">
        <v>0.69184629566965195</v>
      </c>
      <c r="AA33" s="2">
        <v>8.6480786958706493E-2</v>
      </c>
      <c r="AB33" s="2">
        <v>8.6480786958706493E-2</v>
      </c>
      <c r="AC33" s="2">
        <v>6.9184629566965181E-2</v>
      </c>
      <c r="AD33" s="2">
        <v>0.24214620348437818</v>
      </c>
      <c r="AE33" s="2">
        <v>2.0755388870089555</v>
      </c>
      <c r="AF33" s="2">
        <v>0.24214620348437818</v>
      </c>
      <c r="AG33" s="2">
        <v>0.34592314783482597</v>
      </c>
      <c r="AH33" s="2">
        <v>0.13836925913393036</v>
      </c>
      <c r="AI33" s="1">
        <v>7.9562324002009976</v>
      </c>
      <c r="AJ33">
        <f t="shared" si="10"/>
        <v>7.956232400200995</v>
      </c>
      <c r="AK33">
        <f t="shared" si="11"/>
        <v>0</v>
      </c>
      <c r="AL33">
        <f t="shared" si="11"/>
        <v>0.20755388870089556</v>
      </c>
      <c r="AM33">
        <f t="shared" si="9"/>
        <v>0.13836925913393036</v>
      </c>
      <c r="AN33">
        <f t="shared" si="9"/>
        <v>0.27673851826786072</v>
      </c>
      <c r="AO33">
        <f t="shared" si="9"/>
        <v>0.10377694435044778</v>
      </c>
      <c r="AP33">
        <f t="shared" si="9"/>
        <v>6.9184629566965181E-2</v>
      </c>
      <c r="AQ33">
        <f t="shared" si="9"/>
        <v>0.34592314783482597</v>
      </c>
      <c r="AR33">
        <f t="shared" si="9"/>
        <v>0.34592314783482597</v>
      </c>
      <c r="AS33">
        <f t="shared" si="9"/>
        <v>6.9184629566965181E-2</v>
      </c>
      <c r="AT33">
        <f t="shared" si="9"/>
        <v>6.9184629566965181E-2</v>
      </c>
      <c r="AU33">
        <f t="shared" si="9"/>
        <v>0.10377694435044778</v>
      </c>
      <c r="AV33">
        <f t="shared" si="9"/>
        <v>0.12107310174218909</v>
      </c>
      <c r="AW33">
        <f t="shared" si="9"/>
        <v>0.12107310174218909</v>
      </c>
      <c r="AX33">
        <f t="shared" si="9"/>
        <v>0.27673851826786072</v>
      </c>
      <c r="AY33">
        <f t="shared" si="9"/>
        <v>3.459231478348259E-2</v>
      </c>
      <c r="AZ33">
        <f t="shared" si="9"/>
        <v>6.9184629566965181E-2</v>
      </c>
      <c r="BA33">
        <f t="shared" si="9"/>
        <v>6.9184629566965181E-2</v>
      </c>
      <c r="BB33">
        <f t="shared" si="9"/>
        <v>0.13836925913393036</v>
      </c>
      <c r="BC33">
        <f t="shared" si="9"/>
        <v>0.13836925913393036</v>
      </c>
      <c r="BD33">
        <f t="shared" si="9"/>
        <v>0.13836925913393036</v>
      </c>
      <c r="BE33">
        <f t="shared" si="9"/>
        <v>0.13836925913393036</v>
      </c>
      <c r="BF33">
        <f t="shared" si="9"/>
        <v>0.13836925913393036</v>
      </c>
      <c r="BG33">
        <f t="shared" si="9"/>
        <v>0.17296157391741299</v>
      </c>
      <c r="BH33">
        <f t="shared" si="9"/>
        <v>0.69184629566965195</v>
      </c>
      <c r="BI33">
        <f t="shared" si="9"/>
        <v>0.69184629566965195</v>
      </c>
      <c r="BJ33">
        <f t="shared" si="9"/>
        <v>8.6480786958706493E-2</v>
      </c>
      <c r="BK33">
        <f t="shared" si="9"/>
        <v>8.6480786958706493E-2</v>
      </c>
      <c r="BL33">
        <f t="shared" si="9"/>
        <v>6.9184629566965181E-2</v>
      </c>
      <c r="BM33">
        <f t="shared" si="9"/>
        <v>0.24214620348437818</v>
      </c>
      <c r="BN33">
        <f t="shared" si="9"/>
        <v>2.0755388870089555</v>
      </c>
      <c r="BO33">
        <f t="shared" si="9"/>
        <v>0.24214620348437818</v>
      </c>
      <c r="BP33">
        <f t="shared" si="9"/>
        <v>0.34592314783482597</v>
      </c>
      <c r="BQ33">
        <f t="shared" si="9"/>
        <v>0.13836925913393036</v>
      </c>
    </row>
    <row r="34" spans="1:69" x14ac:dyDescent="0.2">
      <c r="A34" s="2">
        <v>4</v>
      </c>
      <c r="B34" s="2">
        <v>0</v>
      </c>
      <c r="C34" s="2">
        <v>0.20904852459037235</v>
      </c>
      <c r="D34" s="2">
        <v>0.13936568306024824</v>
      </c>
      <c r="E34" s="2">
        <v>0.27873136612049648</v>
      </c>
      <c r="F34" s="2">
        <v>0.10452426229518617</v>
      </c>
      <c r="G34" s="2">
        <v>6.9682841530124121E-2</v>
      </c>
      <c r="H34" s="2">
        <v>0.34841420765062064</v>
      </c>
      <c r="I34" s="2">
        <v>0.34841420765062064</v>
      </c>
      <c r="J34" s="2">
        <v>6.9682841530124121E-2</v>
      </c>
      <c r="K34" s="2">
        <v>6.9682841530124121E-2</v>
      </c>
      <c r="L34" s="2">
        <v>0.10452426229518617</v>
      </c>
      <c r="M34" s="2">
        <v>0.12194497267771721</v>
      </c>
      <c r="N34" s="2">
        <v>0.12194497267771721</v>
      </c>
      <c r="O34" s="2">
        <v>0.27873136612049648</v>
      </c>
      <c r="P34" s="2">
        <v>3.484142076506206E-2</v>
      </c>
      <c r="Q34" s="2">
        <v>6.9682841530124121E-2</v>
      </c>
      <c r="R34" s="2">
        <v>6.9682841530124121E-2</v>
      </c>
      <c r="S34" s="2">
        <v>0.13936568306024824</v>
      </c>
      <c r="T34" s="2">
        <v>0.13936568306024824</v>
      </c>
      <c r="U34" s="2">
        <v>0.13936568306024824</v>
      </c>
      <c r="V34" s="2">
        <v>0.13936568306024824</v>
      </c>
      <c r="W34" s="2">
        <v>0.13936568306024824</v>
      </c>
      <c r="X34" s="2">
        <v>0.17420710382531032</v>
      </c>
      <c r="Y34" s="2">
        <v>0.69682841530124129</v>
      </c>
      <c r="Z34" s="2">
        <v>0.69682841530124129</v>
      </c>
      <c r="AA34" s="2">
        <v>8.7103551912655161E-2</v>
      </c>
      <c r="AB34" s="2">
        <v>8.7103551912655161E-2</v>
      </c>
      <c r="AC34" s="2">
        <v>6.9682841530124121E-2</v>
      </c>
      <c r="AD34" s="2">
        <v>0.24388994535543443</v>
      </c>
      <c r="AE34" s="2">
        <v>2.0904852459037233</v>
      </c>
      <c r="AF34" s="2">
        <v>0.24388994535543443</v>
      </c>
      <c r="AG34" s="2">
        <v>0.34841420765062064</v>
      </c>
      <c r="AH34" s="2">
        <v>0.13936568306024824</v>
      </c>
      <c r="AI34" s="1">
        <v>8.0135267759642748</v>
      </c>
      <c r="AJ34">
        <f t="shared" si="10"/>
        <v>8.013526775964273</v>
      </c>
      <c r="AK34">
        <f t="shared" si="11"/>
        <v>0</v>
      </c>
      <c r="AL34">
        <f t="shared" si="11"/>
        <v>0.20904852459037235</v>
      </c>
      <c r="AM34">
        <f t="shared" si="9"/>
        <v>0.13936568306024824</v>
      </c>
      <c r="AN34">
        <f t="shared" si="9"/>
        <v>0.27873136612049648</v>
      </c>
      <c r="AO34">
        <f t="shared" si="9"/>
        <v>0.10452426229518617</v>
      </c>
      <c r="AP34">
        <f t="shared" si="9"/>
        <v>6.9682841530124121E-2</v>
      </c>
      <c r="AQ34">
        <f t="shared" si="9"/>
        <v>0.34841420765062064</v>
      </c>
      <c r="AR34">
        <f t="shared" si="9"/>
        <v>0.34841420765062064</v>
      </c>
      <c r="AS34">
        <f t="shared" si="9"/>
        <v>6.9682841530124121E-2</v>
      </c>
      <c r="AT34">
        <f t="shared" si="9"/>
        <v>6.9682841530124121E-2</v>
      </c>
      <c r="AU34">
        <f t="shared" si="9"/>
        <v>0.10452426229518617</v>
      </c>
      <c r="AV34">
        <f t="shared" si="9"/>
        <v>0.12194497267771721</v>
      </c>
      <c r="AW34">
        <f t="shared" si="9"/>
        <v>0.12194497267771721</v>
      </c>
      <c r="AX34">
        <f t="shared" si="9"/>
        <v>0.27873136612049648</v>
      </c>
      <c r="AY34">
        <f t="shared" si="9"/>
        <v>3.484142076506206E-2</v>
      </c>
      <c r="AZ34">
        <f t="shared" si="9"/>
        <v>6.9682841530124121E-2</v>
      </c>
      <c r="BA34">
        <f t="shared" si="9"/>
        <v>6.9682841530124121E-2</v>
      </c>
      <c r="BB34">
        <f t="shared" si="9"/>
        <v>0.13936568306024824</v>
      </c>
      <c r="BC34">
        <f t="shared" si="9"/>
        <v>0.13936568306024824</v>
      </c>
      <c r="BD34">
        <f t="shared" si="9"/>
        <v>0.13936568306024824</v>
      </c>
      <c r="BE34">
        <f t="shared" si="9"/>
        <v>0.13936568306024824</v>
      </c>
      <c r="BF34">
        <f t="shared" si="9"/>
        <v>0.13936568306024824</v>
      </c>
      <c r="BG34">
        <f t="shared" si="9"/>
        <v>0.17420710382531032</v>
      </c>
      <c r="BH34">
        <f t="shared" si="9"/>
        <v>0.69682841530124129</v>
      </c>
      <c r="BI34">
        <f t="shared" si="9"/>
        <v>0.69682841530124129</v>
      </c>
      <c r="BJ34">
        <f t="shared" si="9"/>
        <v>8.7103551912655161E-2</v>
      </c>
      <c r="BK34">
        <f t="shared" si="9"/>
        <v>8.7103551912655161E-2</v>
      </c>
      <c r="BL34">
        <f t="shared" si="9"/>
        <v>6.9682841530124121E-2</v>
      </c>
      <c r="BM34">
        <f t="shared" si="9"/>
        <v>0.24388994535543443</v>
      </c>
      <c r="BN34">
        <f t="shared" si="9"/>
        <v>2.0904852459037233</v>
      </c>
      <c r="BO34">
        <f t="shared" si="9"/>
        <v>0.24388994535543443</v>
      </c>
      <c r="BP34">
        <f t="shared" si="9"/>
        <v>0.34841420765062064</v>
      </c>
      <c r="BQ34">
        <f t="shared" si="9"/>
        <v>0.13936568306024824</v>
      </c>
    </row>
    <row r="35" spans="1:69" x14ac:dyDescent="0.2">
      <c r="A35" s="2">
        <v>5</v>
      </c>
      <c r="B35" s="2">
        <v>0</v>
      </c>
      <c r="C35" s="2">
        <v>0.21075277404971504</v>
      </c>
      <c r="D35" s="2">
        <v>0.14050184936647669</v>
      </c>
      <c r="E35" s="2">
        <v>0.28100369873295339</v>
      </c>
      <c r="F35" s="2">
        <v>0.10537638702485752</v>
      </c>
      <c r="G35" s="2">
        <v>7.0250924683238347E-2</v>
      </c>
      <c r="H35" s="2">
        <v>0.35125462341619179</v>
      </c>
      <c r="I35" s="2">
        <v>0.35125462341619179</v>
      </c>
      <c r="J35" s="2">
        <v>7.0250924683238347E-2</v>
      </c>
      <c r="K35" s="2">
        <v>7.0250924683238347E-2</v>
      </c>
      <c r="L35" s="2">
        <v>0.10537638702485752</v>
      </c>
      <c r="M35" s="2">
        <v>0.12293911819566712</v>
      </c>
      <c r="N35" s="2">
        <v>0.12293911819566712</v>
      </c>
      <c r="O35" s="2">
        <v>0.28100369873295339</v>
      </c>
      <c r="P35" s="2">
        <v>3.5125462341619174E-2</v>
      </c>
      <c r="Q35" s="2">
        <v>7.0250924683238347E-2</v>
      </c>
      <c r="R35" s="2">
        <v>7.0250924683238347E-2</v>
      </c>
      <c r="S35" s="2">
        <v>0.14050184936647669</v>
      </c>
      <c r="T35" s="2">
        <v>0.14050184936647669</v>
      </c>
      <c r="U35" s="2">
        <v>0.14050184936647669</v>
      </c>
      <c r="V35" s="2">
        <v>0.14050184936647669</v>
      </c>
      <c r="W35" s="2">
        <v>0.14050184936647669</v>
      </c>
      <c r="X35" s="2">
        <v>0.1756273117080959</v>
      </c>
      <c r="Y35" s="2">
        <v>0.70250924683238358</v>
      </c>
      <c r="Z35" s="2">
        <v>0.70250924683238358</v>
      </c>
      <c r="AA35" s="2">
        <v>8.7813655854047948E-2</v>
      </c>
      <c r="AB35" s="2">
        <v>8.7813655854047948E-2</v>
      </c>
      <c r="AC35" s="2">
        <v>7.0250924683238347E-2</v>
      </c>
      <c r="AD35" s="2">
        <v>0.24587823639133424</v>
      </c>
      <c r="AE35" s="2">
        <v>2.1075277404971504</v>
      </c>
      <c r="AF35" s="2">
        <v>0.24587823639133424</v>
      </c>
      <c r="AG35" s="2">
        <v>0.35125462341619179</v>
      </c>
      <c r="AH35" s="2">
        <v>0.14050184936647669</v>
      </c>
      <c r="AI35" s="1">
        <v>8.078856338572411</v>
      </c>
      <c r="AJ35">
        <f t="shared" si="10"/>
        <v>8.078856338572411</v>
      </c>
      <c r="AK35">
        <f t="shared" si="11"/>
        <v>0</v>
      </c>
      <c r="AL35">
        <f t="shared" si="11"/>
        <v>0.21075277404971504</v>
      </c>
      <c r="AM35">
        <f t="shared" si="9"/>
        <v>0.14050184936647669</v>
      </c>
      <c r="AN35">
        <f t="shared" si="9"/>
        <v>0.28100369873295339</v>
      </c>
      <c r="AO35">
        <f t="shared" si="9"/>
        <v>0.10537638702485752</v>
      </c>
      <c r="AP35">
        <f t="shared" si="9"/>
        <v>7.0250924683238347E-2</v>
      </c>
      <c r="AQ35">
        <f t="shared" si="9"/>
        <v>0.35125462341619179</v>
      </c>
      <c r="AR35">
        <f t="shared" si="9"/>
        <v>0.35125462341619179</v>
      </c>
      <c r="AS35">
        <f t="shared" si="9"/>
        <v>7.0250924683238347E-2</v>
      </c>
      <c r="AT35">
        <f t="shared" si="9"/>
        <v>7.0250924683238347E-2</v>
      </c>
      <c r="AU35">
        <f t="shared" si="9"/>
        <v>0.10537638702485752</v>
      </c>
      <c r="AV35">
        <f t="shared" si="9"/>
        <v>0.12293911819566712</v>
      </c>
      <c r="AW35">
        <f t="shared" si="9"/>
        <v>0.12293911819566712</v>
      </c>
      <c r="AX35">
        <f t="shared" si="9"/>
        <v>0.28100369873295339</v>
      </c>
      <c r="AY35">
        <f t="shared" si="9"/>
        <v>3.5125462341619174E-2</v>
      </c>
      <c r="AZ35">
        <f t="shared" si="9"/>
        <v>7.0250924683238347E-2</v>
      </c>
      <c r="BA35">
        <f t="shared" si="9"/>
        <v>7.0250924683238347E-2</v>
      </c>
      <c r="BB35">
        <f t="shared" si="9"/>
        <v>0.14050184936647669</v>
      </c>
      <c r="BC35">
        <f t="shared" si="9"/>
        <v>0.14050184936647669</v>
      </c>
      <c r="BD35">
        <f t="shared" si="9"/>
        <v>0.14050184936647669</v>
      </c>
      <c r="BE35">
        <f t="shared" si="9"/>
        <v>0.14050184936647669</v>
      </c>
      <c r="BF35">
        <f t="shared" si="9"/>
        <v>0.14050184936647669</v>
      </c>
      <c r="BG35">
        <f t="shared" si="9"/>
        <v>0.1756273117080959</v>
      </c>
      <c r="BH35">
        <f t="shared" si="9"/>
        <v>0.70250924683238358</v>
      </c>
      <c r="BI35">
        <f t="shared" si="9"/>
        <v>0.70250924683238358</v>
      </c>
      <c r="BJ35">
        <f t="shared" si="9"/>
        <v>8.7813655854047948E-2</v>
      </c>
      <c r="BK35">
        <f t="shared" si="9"/>
        <v>8.7813655854047948E-2</v>
      </c>
      <c r="BL35">
        <f t="shared" si="9"/>
        <v>7.0250924683238347E-2</v>
      </c>
      <c r="BM35">
        <f t="shared" si="9"/>
        <v>0.24587823639133424</v>
      </c>
      <c r="BN35">
        <f t="shared" si="9"/>
        <v>2.1075277404971504</v>
      </c>
      <c r="BO35">
        <f t="shared" si="9"/>
        <v>0.24587823639133424</v>
      </c>
      <c r="BP35">
        <f t="shared" si="9"/>
        <v>0.35125462341619179</v>
      </c>
      <c r="BQ35">
        <f t="shared" si="9"/>
        <v>0.14050184936647669</v>
      </c>
    </row>
    <row r="36" spans="1:69" x14ac:dyDescent="0.2">
      <c r="A36" s="2">
        <v>6</v>
      </c>
      <c r="B36" s="2">
        <v>0</v>
      </c>
      <c r="C36" s="2">
        <v>0.21469897734327287</v>
      </c>
      <c r="D36" s="2">
        <v>0.14313265156218191</v>
      </c>
      <c r="E36" s="2">
        <v>0.28626530312436382</v>
      </c>
      <c r="F36" s="2">
        <v>0.10734948867163643</v>
      </c>
      <c r="G36" s="2">
        <v>7.1566325781090956E-2</v>
      </c>
      <c r="H36" s="2">
        <v>0.35783162890545483</v>
      </c>
      <c r="I36" s="2">
        <v>0.35783162890545483</v>
      </c>
      <c r="J36" s="2">
        <v>7.1566325781090956E-2</v>
      </c>
      <c r="K36" s="2">
        <v>7.1566325781090956E-2</v>
      </c>
      <c r="L36" s="2">
        <v>0.10734948867163643</v>
      </c>
      <c r="M36" s="2">
        <v>0.12524107011690919</v>
      </c>
      <c r="N36" s="2">
        <v>0.12524107011690919</v>
      </c>
      <c r="O36" s="2">
        <v>0.28626530312436382</v>
      </c>
      <c r="P36" s="2">
        <v>3.5783162890545478E-2</v>
      </c>
      <c r="Q36" s="2">
        <v>7.1566325781090956E-2</v>
      </c>
      <c r="R36" s="2">
        <v>7.1566325781090956E-2</v>
      </c>
      <c r="S36" s="2">
        <v>0.14313265156218191</v>
      </c>
      <c r="T36" s="2">
        <v>0.14313265156218191</v>
      </c>
      <c r="U36" s="2">
        <v>0.14313265156218191</v>
      </c>
      <c r="V36" s="2">
        <v>0.14313265156218191</v>
      </c>
      <c r="W36" s="2">
        <v>0.14313265156218191</v>
      </c>
      <c r="X36" s="2">
        <v>0.17891581445272742</v>
      </c>
      <c r="Y36" s="2">
        <v>0.71566325781090967</v>
      </c>
      <c r="Z36" s="2">
        <v>0.71566325781090967</v>
      </c>
      <c r="AA36" s="2">
        <v>8.9457907226363709E-2</v>
      </c>
      <c r="AB36" s="2">
        <v>8.9457907226363709E-2</v>
      </c>
      <c r="AC36" s="2">
        <v>7.1566325781090956E-2</v>
      </c>
      <c r="AD36" s="2">
        <v>0.25048214023381837</v>
      </c>
      <c r="AE36" s="2">
        <v>2.1469897734327286</v>
      </c>
      <c r="AF36" s="2">
        <v>0.25048214023381837</v>
      </c>
      <c r="AG36" s="2">
        <v>0.35783162890545483</v>
      </c>
      <c r="AH36" s="2">
        <v>0.14313265156218191</v>
      </c>
      <c r="AI36" s="1">
        <v>8.2301274648254612</v>
      </c>
      <c r="AJ36">
        <f t="shared" si="10"/>
        <v>8.2301274648254594</v>
      </c>
      <c r="AK36">
        <f t="shared" si="11"/>
        <v>0</v>
      </c>
      <c r="AL36">
        <f t="shared" si="11"/>
        <v>0.21469897734327287</v>
      </c>
      <c r="AM36">
        <f t="shared" si="9"/>
        <v>0.14313265156218191</v>
      </c>
      <c r="AN36">
        <f t="shared" si="9"/>
        <v>0.28626530312436382</v>
      </c>
      <c r="AO36">
        <f t="shared" si="9"/>
        <v>0.10734948867163643</v>
      </c>
      <c r="AP36">
        <f t="shared" si="9"/>
        <v>7.1566325781090956E-2</v>
      </c>
      <c r="AQ36">
        <f t="shared" si="9"/>
        <v>0.35783162890545483</v>
      </c>
      <c r="AR36">
        <f t="shared" si="9"/>
        <v>0.35783162890545483</v>
      </c>
      <c r="AS36">
        <f t="shared" si="9"/>
        <v>7.1566325781090956E-2</v>
      </c>
      <c r="AT36">
        <f t="shared" si="9"/>
        <v>7.1566325781090956E-2</v>
      </c>
      <c r="AU36">
        <f t="shared" si="9"/>
        <v>0.10734948867163643</v>
      </c>
      <c r="AV36">
        <f t="shared" si="9"/>
        <v>0.12524107011690919</v>
      </c>
      <c r="AW36">
        <f t="shared" si="9"/>
        <v>0.12524107011690919</v>
      </c>
      <c r="AX36">
        <f t="shared" si="9"/>
        <v>0.28626530312436382</v>
      </c>
      <c r="AY36">
        <f t="shared" si="9"/>
        <v>3.5783162890545478E-2</v>
      </c>
      <c r="AZ36">
        <f t="shared" si="9"/>
        <v>7.1566325781090956E-2</v>
      </c>
      <c r="BA36">
        <f t="shared" si="9"/>
        <v>7.1566325781090956E-2</v>
      </c>
      <c r="BB36">
        <f t="shared" si="9"/>
        <v>0.14313265156218191</v>
      </c>
      <c r="BC36">
        <f t="shared" si="9"/>
        <v>0.14313265156218191</v>
      </c>
      <c r="BD36">
        <f t="shared" si="9"/>
        <v>0.14313265156218191</v>
      </c>
      <c r="BE36">
        <f t="shared" si="9"/>
        <v>0.14313265156218191</v>
      </c>
      <c r="BF36">
        <f t="shared" si="9"/>
        <v>0.14313265156218191</v>
      </c>
      <c r="BG36">
        <f t="shared" si="9"/>
        <v>0.17891581445272742</v>
      </c>
      <c r="BH36">
        <f t="shared" si="9"/>
        <v>0.71566325781090967</v>
      </c>
      <c r="BI36">
        <f t="shared" si="9"/>
        <v>0.71566325781090967</v>
      </c>
      <c r="BJ36">
        <f t="shared" si="9"/>
        <v>8.9457907226363709E-2</v>
      </c>
      <c r="BK36">
        <f t="shared" si="9"/>
        <v>8.9457907226363709E-2</v>
      </c>
      <c r="BL36">
        <f t="shared" si="9"/>
        <v>7.1566325781090956E-2</v>
      </c>
      <c r="BM36">
        <f t="shared" si="9"/>
        <v>0.25048214023381837</v>
      </c>
      <c r="BN36">
        <f t="shared" si="9"/>
        <v>2.1469897734327286</v>
      </c>
      <c r="BO36">
        <f t="shared" si="9"/>
        <v>0.25048214023381837</v>
      </c>
      <c r="BP36">
        <f t="shared" si="9"/>
        <v>0.35783162890545483</v>
      </c>
      <c r="BQ36">
        <f t="shared" si="9"/>
        <v>0.14313265156218191</v>
      </c>
    </row>
    <row r="37" spans="1:69" x14ac:dyDescent="0.2">
      <c r="A37" s="2">
        <v>7</v>
      </c>
      <c r="B37" s="2">
        <v>0</v>
      </c>
      <c r="C37" s="2">
        <v>0.22666517809256037</v>
      </c>
      <c r="D37" s="2">
        <v>0.1511101187283736</v>
      </c>
      <c r="E37" s="2">
        <v>0.3022202374567472</v>
      </c>
      <c r="F37" s="2">
        <v>0.11333258904628019</v>
      </c>
      <c r="G37" s="2">
        <v>7.55550593641868E-2</v>
      </c>
      <c r="H37" s="2">
        <v>0.37777529682093403</v>
      </c>
      <c r="I37" s="2">
        <v>0.37777529682093403</v>
      </c>
      <c r="J37" s="2">
        <v>7.55550593641868E-2</v>
      </c>
      <c r="K37" s="2">
        <v>7.55550593641868E-2</v>
      </c>
      <c r="L37" s="2">
        <v>0.11333258904628019</v>
      </c>
      <c r="M37" s="2">
        <v>0.13222135388732689</v>
      </c>
      <c r="N37" s="2">
        <v>0.13222135388732689</v>
      </c>
      <c r="O37" s="2">
        <v>0.3022202374567472</v>
      </c>
      <c r="P37" s="2">
        <v>3.77775296820934E-2</v>
      </c>
      <c r="Q37" s="2">
        <v>7.55550593641868E-2</v>
      </c>
      <c r="R37" s="2">
        <v>7.55550593641868E-2</v>
      </c>
      <c r="S37" s="2">
        <v>0.1511101187283736</v>
      </c>
      <c r="T37" s="2">
        <v>0.1511101187283736</v>
      </c>
      <c r="U37" s="2">
        <v>0.1511101187283736</v>
      </c>
      <c r="V37" s="2">
        <v>0.1511101187283736</v>
      </c>
      <c r="W37" s="2">
        <v>0.1511101187283736</v>
      </c>
      <c r="X37" s="2">
        <v>0.18888764841046701</v>
      </c>
      <c r="Y37" s="2">
        <v>0.75555059364186805</v>
      </c>
      <c r="Z37" s="2">
        <v>0.75555059364186805</v>
      </c>
      <c r="AA37" s="2">
        <v>9.4443824205233506E-2</v>
      </c>
      <c r="AB37" s="2">
        <v>9.4443824205233506E-2</v>
      </c>
      <c r="AC37" s="2">
        <v>7.55550593641868E-2</v>
      </c>
      <c r="AD37" s="2">
        <v>0.26444270777465378</v>
      </c>
      <c r="AE37" s="2">
        <v>2.2666517809256037</v>
      </c>
      <c r="AF37" s="2">
        <v>0.26444270777465378</v>
      </c>
      <c r="AG37" s="2">
        <v>0.37777529682093403</v>
      </c>
      <c r="AH37" s="2">
        <v>0.1511101187283736</v>
      </c>
      <c r="AI37" s="1">
        <v>8.6888318268814828</v>
      </c>
      <c r="AJ37">
        <f t="shared" si="10"/>
        <v>8.6888318268814828</v>
      </c>
      <c r="AK37">
        <f t="shared" si="11"/>
        <v>0</v>
      </c>
      <c r="AL37">
        <f t="shared" si="11"/>
        <v>0.22666517809256037</v>
      </c>
      <c r="AM37">
        <f t="shared" si="9"/>
        <v>0.1511101187283736</v>
      </c>
      <c r="AN37">
        <f t="shared" si="9"/>
        <v>0.3022202374567472</v>
      </c>
      <c r="AO37">
        <f t="shared" si="9"/>
        <v>0.11333258904628019</v>
      </c>
      <c r="AP37">
        <f t="shared" si="9"/>
        <v>7.55550593641868E-2</v>
      </c>
      <c r="AQ37">
        <f t="shared" si="9"/>
        <v>0.37777529682093403</v>
      </c>
      <c r="AR37">
        <f t="shared" si="9"/>
        <v>0.37777529682093403</v>
      </c>
      <c r="AS37">
        <f t="shared" si="9"/>
        <v>7.55550593641868E-2</v>
      </c>
      <c r="AT37">
        <f t="shared" si="9"/>
        <v>7.55550593641868E-2</v>
      </c>
      <c r="AU37">
        <f t="shared" si="9"/>
        <v>0.11333258904628019</v>
      </c>
      <c r="AV37">
        <f t="shared" si="9"/>
        <v>0.13222135388732689</v>
      </c>
      <c r="AW37">
        <f t="shared" si="9"/>
        <v>0.13222135388732689</v>
      </c>
      <c r="AX37">
        <f t="shared" si="9"/>
        <v>0.3022202374567472</v>
      </c>
      <c r="AY37">
        <f t="shared" si="9"/>
        <v>3.77775296820934E-2</v>
      </c>
      <c r="AZ37">
        <f t="shared" si="9"/>
        <v>7.55550593641868E-2</v>
      </c>
      <c r="BA37">
        <f t="shared" si="9"/>
        <v>7.55550593641868E-2</v>
      </c>
      <c r="BB37">
        <f t="shared" si="9"/>
        <v>0.1511101187283736</v>
      </c>
      <c r="BC37">
        <f t="shared" si="9"/>
        <v>0.1511101187283736</v>
      </c>
      <c r="BD37">
        <f t="shared" si="9"/>
        <v>0.1511101187283736</v>
      </c>
      <c r="BE37">
        <f t="shared" si="9"/>
        <v>0.1511101187283736</v>
      </c>
      <c r="BF37">
        <f t="shared" si="9"/>
        <v>0.1511101187283736</v>
      </c>
      <c r="BG37">
        <f t="shared" si="9"/>
        <v>0.18888764841046701</v>
      </c>
      <c r="BH37">
        <f t="shared" si="9"/>
        <v>0.75555059364186805</v>
      </c>
      <c r="BI37">
        <f t="shared" si="9"/>
        <v>0.75555059364186805</v>
      </c>
      <c r="BJ37">
        <f t="shared" si="9"/>
        <v>9.4443824205233506E-2</v>
      </c>
      <c r="BK37">
        <f t="shared" si="9"/>
        <v>9.4443824205233506E-2</v>
      </c>
      <c r="BL37">
        <f t="shared" si="9"/>
        <v>7.55550593641868E-2</v>
      </c>
      <c r="BM37">
        <f t="shared" si="9"/>
        <v>0.26444270777465378</v>
      </c>
      <c r="BN37">
        <f t="shared" si="9"/>
        <v>2.2666517809256037</v>
      </c>
      <c r="BO37">
        <f t="shared" si="9"/>
        <v>0.26444270777465378</v>
      </c>
      <c r="BP37">
        <f t="shared" si="9"/>
        <v>0.37777529682093403</v>
      </c>
      <c r="BQ37">
        <f t="shared" si="9"/>
        <v>0.1511101187283736</v>
      </c>
    </row>
    <row r="38" spans="1:69" x14ac:dyDescent="0.2">
      <c r="A38" s="2">
        <v>8</v>
      </c>
      <c r="B38" s="2">
        <v>0</v>
      </c>
      <c r="C38" s="2">
        <v>0.23360065316507217</v>
      </c>
      <c r="D38" s="2">
        <v>0.15573376877671477</v>
      </c>
      <c r="E38" s="2">
        <v>0.31146753755342954</v>
      </c>
      <c r="F38" s="2">
        <v>0.11680032658253608</v>
      </c>
      <c r="G38" s="2">
        <v>7.7866884388357385E-2</v>
      </c>
      <c r="H38" s="2">
        <v>0.38933442194178702</v>
      </c>
      <c r="I38" s="2">
        <v>0.38933442194178702</v>
      </c>
      <c r="J38" s="2">
        <v>7.7866884388357385E-2</v>
      </c>
      <c r="K38" s="2">
        <v>7.7866884388357385E-2</v>
      </c>
      <c r="L38" s="2">
        <v>0.11680032658253608</v>
      </c>
      <c r="M38" s="2">
        <v>0.13626704767962544</v>
      </c>
      <c r="N38" s="2">
        <v>0.13626704767962544</v>
      </c>
      <c r="O38" s="2">
        <v>0.31146753755342954</v>
      </c>
      <c r="P38" s="2">
        <v>3.8933442194178693E-2</v>
      </c>
      <c r="Q38" s="2">
        <v>7.7866884388357385E-2</v>
      </c>
      <c r="R38" s="2">
        <v>7.7866884388357385E-2</v>
      </c>
      <c r="S38" s="2">
        <v>0.15573376877671477</v>
      </c>
      <c r="T38" s="2">
        <v>0.15573376877671477</v>
      </c>
      <c r="U38" s="2">
        <v>0.15573376877671477</v>
      </c>
      <c r="V38" s="2">
        <v>0.15573376877671477</v>
      </c>
      <c r="W38" s="2">
        <v>0.15573376877671477</v>
      </c>
      <c r="X38" s="2">
        <v>0.19466721097089351</v>
      </c>
      <c r="Y38" s="2">
        <v>0.77866884388357405</v>
      </c>
      <c r="Z38" s="2">
        <v>0.77866884388357405</v>
      </c>
      <c r="AA38" s="2">
        <v>9.7333605485446756E-2</v>
      </c>
      <c r="AB38" s="2">
        <v>9.7333605485446756E-2</v>
      </c>
      <c r="AC38" s="2">
        <v>7.7866884388357385E-2</v>
      </c>
      <c r="AD38" s="2">
        <v>0.27253409535925088</v>
      </c>
      <c r="AE38" s="2">
        <v>2.3360065316507215</v>
      </c>
      <c r="AF38" s="2">
        <v>0.27253409535925088</v>
      </c>
      <c r="AG38" s="2">
        <v>0.38933442194178702</v>
      </c>
      <c r="AH38" s="2">
        <v>0.15573376877671477</v>
      </c>
      <c r="AI38" s="1">
        <v>8.9546917046611014</v>
      </c>
      <c r="AJ38">
        <f t="shared" si="10"/>
        <v>8.9546917046610996</v>
      </c>
      <c r="AK38">
        <f t="shared" si="11"/>
        <v>0</v>
      </c>
      <c r="AL38">
        <f t="shared" si="11"/>
        <v>0.23360065316507217</v>
      </c>
      <c r="AM38">
        <f t="shared" si="9"/>
        <v>0.15573376877671477</v>
      </c>
      <c r="AN38">
        <f t="shared" si="9"/>
        <v>0.31146753755342954</v>
      </c>
      <c r="AO38">
        <f t="shared" si="9"/>
        <v>0.11680032658253608</v>
      </c>
      <c r="AP38">
        <f t="shared" si="9"/>
        <v>7.7866884388357385E-2</v>
      </c>
      <c r="AQ38">
        <f t="shared" si="9"/>
        <v>0.38933442194178702</v>
      </c>
      <c r="AR38">
        <f t="shared" si="9"/>
        <v>0.38933442194178702</v>
      </c>
      <c r="AS38">
        <f t="shared" si="9"/>
        <v>7.7866884388357385E-2</v>
      </c>
      <c r="AT38">
        <f t="shared" si="9"/>
        <v>7.7866884388357385E-2</v>
      </c>
      <c r="AU38">
        <f t="shared" si="9"/>
        <v>0.11680032658253608</v>
      </c>
      <c r="AV38">
        <f t="shared" si="9"/>
        <v>0.13626704767962544</v>
      </c>
      <c r="AW38">
        <f t="shared" si="9"/>
        <v>0.13626704767962544</v>
      </c>
      <c r="AX38">
        <f t="shared" si="9"/>
        <v>0.31146753755342954</v>
      </c>
      <c r="AY38">
        <f t="shared" si="9"/>
        <v>3.8933442194178693E-2</v>
      </c>
      <c r="AZ38">
        <f t="shared" si="9"/>
        <v>7.7866884388357385E-2</v>
      </c>
      <c r="BA38">
        <f t="shared" si="9"/>
        <v>7.7866884388357385E-2</v>
      </c>
      <c r="BB38">
        <f t="shared" si="9"/>
        <v>0.15573376877671477</v>
      </c>
      <c r="BC38">
        <f t="shared" si="9"/>
        <v>0.15573376877671477</v>
      </c>
      <c r="BD38">
        <f t="shared" si="9"/>
        <v>0.15573376877671477</v>
      </c>
      <c r="BE38">
        <f t="shared" si="9"/>
        <v>0.15573376877671477</v>
      </c>
      <c r="BF38">
        <f t="shared" si="9"/>
        <v>0.15573376877671477</v>
      </c>
      <c r="BG38">
        <f t="shared" si="9"/>
        <v>0.19466721097089351</v>
      </c>
      <c r="BH38">
        <f t="shared" si="9"/>
        <v>0.77866884388357405</v>
      </c>
      <c r="BI38">
        <f t="shared" si="9"/>
        <v>0.77866884388357405</v>
      </c>
      <c r="BJ38">
        <f t="shared" si="9"/>
        <v>9.7333605485446756E-2</v>
      </c>
      <c r="BK38">
        <f t="shared" si="9"/>
        <v>9.7333605485446756E-2</v>
      </c>
      <c r="BL38">
        <f t="shared" si="9"/>
        <v>7.7866884388357385E-2</v>
      </c>
      <c r="BM38">
        <f t="shared" si="9"/>
        <v>0.27253409535925088</v>
      </c>
      <c r="BN38">
        <f t="shared" si="9"/>
        <v>2.3360065316507215</v>
      </c>
      <c r="BO38">
        <f t="shared" si="9"/>
        <v>0.27253409535925088</v>
      </c>
      <c r="BP38">
        <f t="shared" si="9"/>
        <v>0.38933442194178702</v>
      </c>
      <c r="BQ38">
        <f t="shared" si="9"/>
        <v>0.15573376877671477</v>
      </c>
    </row>
    <row r="39" spans="1:69" x14ac:dyDescent="0.2">
      <c r="A39" s="2">
        <v>9</v>
      </c>
      <c r="B39" s="2">
        <v>0</v>
      </c>
      <c r="C39" s="2">
        <v>0.2504882159894668</v>
      </c>
      <c r="D39" s="2">
        <v>0.16699214399297785</v>
      </c>
      <c r="E39" s="2">
        <v>0.3339842879859557</v>
      </c>
      <c r="F39" s="2">
        <v>0.1252441079947334</v>
      </c>
      <c r="G39" s="2">
        <v>8.3496071996488924E-2</v>
      </c>
      <c r="H39" s="2">
        <v>0.4174803599824447</v>
      </c>
      <c r="I39" s="2">
        <v>0.4174803599824447</v>
      </c>
      <c r="J39" s="2">
        <v>8.3496071996488924E-2</v>
      </c>
      <c r="K39" s="2">
        <v>8.3496071996488924E-2</v>
      </c>
      <c r="L39" s="2">
        <v>0.1252441079947334</v>
      </c>
      <c r="M39" s="2">
        <v>0.14611812599385565</v>
      </c>
      <c r="N39" s="2">
        <v>0.14611812599385565</v>
      </c>
      <c r="O39" s="2">
        <v>0.3339842879859557</v>
      </c>
      <c r="P39" s="2">
        <v>4.1748035998244462E-2</v>
      </c>
      <c r="Q39" s="2">
        <v>8.3496071996488924E-2</v>
      </c>
      <c r="R39" s="2">
        <v>8.3496071996488924E-2</v>
      </c>
      <c r="S39" s="2">
        <v>0.16699214399297785</v>
      </c>
      <c r="T39" s="2">
        <v>0.16699214399297785</v>
      </c>
      <c r="U39" s="2">
        <v>0.16699214399297785</v>
      </c>
      <c r="V39" s="2">
        <v>0.16699214399297785</v>
      </c>
      <c r="W39" s="2">
        <v>0.16699214399297785</v>
      </c>
      <c r="X39" s="2">
        <v>0.20874017999122235</v>
      </c>
      <c r="Y39" s="2">
        <v>0.83496071996488941</v>
      </c>
      <c r="Z39" s="2">
        <v>0.83496071996488941</v>
      </c>
      <c r="AA39" s="2">
        <v>0.10437008999561118</v>
      </c>
      <c r="AB39" s="2">
        <v>0.10437008999561118</v>
      </c>
      <c r="AC39" s="2">
        <v>8.3496071996488924E-2</v>
      </c>
      <c r="AD39" s="2">
        <v>0.2922362519877113</v>
      </c>
      <c r="AE39" s="2">
        <v>2.5048821598946676</v>
      </c>
      <c r="AF39" s="2">
        <v>0.2922362519877113</v>
      </c>
      <c r="AG39" s="2">
        <v>0.4174803599824447</v>
      </c>
      <c r="AH39" s="2">
        <v>0.16699214399297785</v>
      </c>
      <c r="AI39" s="1">
        <v>9.6020482795962288</v>
      </c>
      <c r="AJ39">
        <f t="shared" si="10"/>
        <v>9.6020482795962305</v>
      </c>
      <c r="AK39">
        <f t="shared" si="11"/>
        <v>0</v>
      </c>
      <c r="AL39">
        <f t="shared" si="11"/>
        <v>0.2504882159894668</v>
      </c>
      <c r="AM39">
        <f t="shared" si="9"/>
        <v>0.16699214399297785</v>
      </c>
      <c r="AN39">
        <f t="shared" si="9"/>
        <v>0.3339842879859557</v>
      </c>
      <c r="AO39">
        <f t="shared" si="9"/>
        <v>0.1252441079947334</v>
      </c>
      <c r="AP39">
        <f t="shared" si="9"/>
        <v>8.3496071996488924E-2</v>
      </c>
      <c r="AQ39">
        <f t="shared" si="9"/>
        <v>0.4174803599824447</v>
      </c>
      <c r="AR39">
        <f t="shared" si="9"/>
        <v>0.4174803599824447</v>
      </c>
      <c r="AS39">
        <f t="shared" si="9"/>
        <v>8.3496071996488924E-2</v>
      </c>
      <c r="AT39">
        <f t="shared" si="9"/>
        <v>8.3496071996488924E-2</v>
      </c>
      <c r="AU39">
        <f t="shared" si="9"/>
        <v>0.1252441079947334</v>
      </c>
      <c r="AV39">
        <f t="shared" si="9"/>
        <v>0.14611812599385565</v>
      </c>
      <c r="AW39">
        <f t="shared" si="9"/>
        <v>0.14611812599385565</v>
      </c>
      <c r="AX39">
        <f t="shared" si="9"/>
        <v>0.3339842879859557</v>
      </c>
      <c r="AY39">
        <f t="shared" si="9"/>
        <v>4.1748035998244462E-2</v>
      </c>
      <c r="AZ39">
        <f t="shared" si="9"/>
        <v>8.3496071996488924E-2</v>
      </c>
      <c r="BA39">
        <f t="shared" si="9"/>
        <v>8.3496071996488924E-2</v>
      </c>
      <c r="BB39">
        <f t="shared" si="9"/>
        <v>0.16699214399297785</v>
      </c>
      <c r="BC39">
        <f t="shared" si="9"/>
        <v>0.16699214399297785</v>
      </c>
      <c r="BD39">
        <f t="shared" si="9"/>
        <v>0.16699214399297785</v>
      </c>
      <c r="BE39">
        <f t="shared" si="9"/>
        <v>0.16699214399297785</v>
      </c>
      <c r="BF39">
        <f t="shared" si="9"/>
        <v>0.16699214399297785</v>
      </c>
      <c r="BG39">
        <f t="shared" si="9"/>
        <v>0.20874017999122235</v>
      </c>
      <c r="BH39">
        <f t="shared" ref="AM39:BQ47" si="12">$AI39*BH$30</f>
        <v>0.83496071996488941</v>
      </c>
      <c r="BI39">
        <f t="shared" si="12"/>
        <v>0.83496071996488941</v>
      </c>
      <c r="BJ39">
        <f t="shared" si="12"/>
        <v>0.10437008999561118</v>
      </c>
      <c r="BK39">
        <f t="shared" si="12"/>
        <v>0.10437008999561118</v>
      </c>
      <c r="BL39">
        <f t="shared" si="12"/>
        <v>8.3496071996488924E-2</v>
      </c>
      <c r="BM39">
        <f t="shared" si="12"/>
        <v>0.2922362519877113</v>
      </c>
      <c r="BN39">
        <f t="shared" si="12"/>
        <v>2.5048821598946676</v>
      </c>
      <c r="BO39">
        <f t="shared" si="12"/>
        <v>0.2922362519877113</v>
      </c>
      <c r="BP39">
        <f t="shared" si="12"/>
        <v>0.4174803599824447</v>
      </c>
      <c r="BQ39">
        <f t="shared" si="12"/>
        <v>0.16699214399297785</v>
      </c>
    </row>
    <row r="40" spans="1:69" x14ac:dyDescent="0.2">
      <c r="A40" s="2">
        <v>10</v>
      </c>
      <c r="B40" s="2">
        <v>0</v>
      </c>
      <c r="C40" s="2">
        <v>0.25787937273559924</v>
      </c>
      <c r="D40" s="2">
        <v>0.17191958182373285</v>
      </c>
      <c r="E40" s="2">
        <v>0.3438391636474657</v>
      </c>
      <c r="F40" s="2">
        <v>0.12893968636779962</v>
      </c>
      <c r="G40" s="2">
        <v>8.5959790911866424E-2</v>
      </c>
      <c r="H40" s="2">
        <v>0.4297989545593322</v>
      </c>
      <c r="I40" s="2">
        <v>0.4297989545593322</v>
      </c>
      <c r="J40" s="2">
        <v>8.5959790911866424E-2</v>
      </c>
      <c r="K40" s="2">
        <v>8.5959790911866424E-2</v>
      </c>
      <c r="L40" s="2">
        <v>0.12893968636779962</v>
      </c>
      <c r="M40" s="2">
        <v>0.15042963409576626</v>
      </c>
      <c r="N40" s="2">
        <v>0.15042963409576626</v>
      </c>
      <c r="O40" s="2">
        <v>0.3438391636474657</v>
      </c>
      <c r="P40" s="2">
        <v>4.2979895455933212E-2</v>
      </c>
      <c r="Q40" s="2">
        <v>8.5959790911866424E-2</v>
      </c>
      <c r="R40" s="2">
        <v>8.5959790911866424E-2</v>
      </c>
      <c r="S40" s="2">
        <v>0.17191958182373285</v>
      </c>
      <c r="T40" s="2">
        <v>0.17191958182373285</v>
      </c>
      <c r="U40" s="2">
        <v>0.17191958182373285</v>
      </c>
      <c r="V40" s="2">
        <v>0.17191958182373285</v>
      </c>
      <c r="W40" s="2">
        <v>0.17191958182373285</v>
      </c>
      <c r="X40" s="2">
        <v>0.2148994772796661</v>
      </c>
      <c r="Y40" s="2">
        <v>0.8595979091186644</v>
      </c>
      <c r="Z40" s="2">
        <v>0.8595979091186644</v>
      </c>
      <c r="AA40" s="2">
        <v>0.10744973863983305</v>
      </c>
      <c r="AB40" s="2">
        <v>0.10744973863983305</v>
      </c>
      <c r="AC40" s="2">
        <v>8.5959790911866424E-2</v>
      </c>
      <c r="AD40" s="2">
        <v>0.30085926819153253</v>
      </c>
      <c r="AE40" s="2">
        <v>2.5787937273559924</v>
      </c>
      <c r="AF40" s="2">
        <v>0.30085926819153253</v>
      </c>
      <c r="AG40" s="2">
        <v>0.4297989545593322</v>
      </c>
      <c r="AH40" s="2">
        <v>0.17191958182373285</v>
      </c>
      <c r="AI40" s="1">
        <v>9.8853759548646405</v>
      </c>
      <c r="AJ40">
        <f t="shared" si="10"/>
        <v>9.8853759548646387</v>
      </c>
      <c r="AK40">
        <f t="shared" si="11"/>
        <v>0</v>
      </c>
      <c r="AL40">
        <f t="shared" si="11"/>
        <v>0.25787937273559924</v>
      </c>
      <c r="AM40">
        <f t="shared" si="12"/>
        <v>0.17191958182373285</v>
      </c>
      <c r="AN40">
        <f t="shared" si="12"/>
        <v>0.3438391636474657</v>
      </c>
      <c r="AO40">
        <f t="shared" si="12"/>
        <v>0.12893968636779962</v>
      </c>
      <c r="AP40">
        <f t="shared" si="12"/>
        <v>8.5959790911866424E-2</v>
      </c>
      <c r="AQ40">
        <f t="shared" si="12"/>
        <v>0.4297989545593322</v>
      </c>
      <c r="AR40">
        <f t="shared" si="12"/>
        <v>0.4297989545593322</v>
      </c>
      <c r="AS40">
        <f t="shared" si="12"/>
        <v>8.5959790911866424E-2</v>
      </c>
      <c r="AT40">
        <f t="shared" si="12"/>
        <v>8.5959790911866424E-2</v>
      </c>
      <c r="AU40">
        <f t="shared" si="12"/>
        <v>0.12893968636779962</v>
      </c>
      <c r="AV40">
        <f t="shared" si="12"/>
        <v>0.15042963409576626</v>
      </c>
      <c r="AW40">
        <f t="shared" si="12"/>
        <v>0.15042963409576626</v>
      </c>
      <c r="AX40">
        <f t="shared" si="12"/>
        <v>0.3438391636474657</v>
      </c>
      <c r="AY40">
        <f t="shared" si="12"/>
        <v>4.2979895455933212E-2</v>
      </c>
      <c r="AZ40">
        <f t="shared" si="12"/>
        <v>8.5959790911866424E-2</v>
      </c>
      <c r="BA40">
        <f t="shared" si="12"/>
        <v>8.5959790911866424E-2</v>
      </c>
      <c r="BB40">
        <f t="shared" si="12"/>
        <v>0.17191958182373285</v>
      </c>
      <c r="BC40">
        <f t="shared" si="12"/>
        <v>0.17191958182373285</v>
      </c>
      <c r="BD40">
        <f t="shared" si="12"/>
        <v>0.17191958182373285</v>
      </c>
      <c r="BE40">
        <f t="shared" si="12"/>
        <v>0.17191958182373285</v>
      </c>
      <c r="BF40">
        <f t="shared" si="12"/>
        <v>0.17191958182373285</v>
      </c>
      <c r="BG40">
        <f t="shared" si="12"/>
        <v>0.2148994772796661</v>
      </c>
      <c r="BH40">
        <f t="shared" si="12"/>
        <v>0.8595979091186644</v>
      </c>
      <c r="BI40">
        <f t="shared" si="12"/>
        <v>0.8595979091186644</v>
      </c>
      <c r="BJ40">
        <f t="shared" si="12"/>
        <v>0.10744973863983305</v>
      </c>
      <c r="BK40">
        <f t="shared" si="12"/>
        <v>0.10744973863983305</v>
      </c>
      <c r="BL40">
        <f t="shared" si="12"/>
        <v>8.5959790911866424E-2</v>
      </c>
      <c r="BM40">
        <f t="shared" si="12"/>
        <v>0.30085926819153253</v>
      </c>
      <c r="BN40">
        <f t="shared" si="12"/>
        <v>2.5787937273559924</v>
      </c>
      <c r="BO40">
        <f t="shared" si="12"/>
        <v>0.30085926819153253</v>
      </c>
      <c r="BP40">
        <f t="shared" si="12"/>
        <v>0.4297989545593322</v>
      </c>
      <c r="BQ40">
        <f t="shared" si="12"/>
        <v>0.17191958182373285</v>
      </c>
    </row>
    <row r="41" spans="1:69" x14ac:dyDescent="0.2">
      <c r="A41" s="2">
        <v>11</v>
      </c>
      <c r="B41" s="2">
        <v>0</v>
      </c>
      <c r="C41" s="2">
        <v>0.26199873506513344</v>
      </c>
      <c r="D41" s="2">
        <v>0.17466582337675562</v>
      </c>
      <c r="E41" s="2">
        <v>0.34933164675351125</v>
      </c>
      <c r="F41" s="2">
        <v>0.13099936753256672</v>
      </c>
      <c r="G41" s="2">
        <v>8.7332911688377812E-2</v>
      </c>
      <c r="H41" s="2">
        <v>0.43666455844188912</v>
      </c>
      <c r="I41" s="2">
        <v>0.43666455844188912</v>
      </c>
      <c r="J41" s="2">
        <v>8.7332911688377812E-2</v>
      </c>
      <c r="K41" s="2">
        <v>8.7332911688377812E-2</v>
      </c>
      <c r="L41" s="2">
        <v>0.13099936753256672</v>
      </c>
      <c r="M41" s="2">
        <v>0.15283259545466119</v>
      </c>
      <c r="N41" s="2">
        <v>0.15283259545466119</v>
      </c>
      <c r="O41" s="2">
        <v>0.34933164675351125</v>
      </c>
      <c r="P41" s="2">
        <v>4.3666455844188906E-2</v>
      </c>
      <c r="Q41" s="2">
        <v>8.7332911688377812E-2</v>
      </c>
      <c r="R41" s="2">
        <v>8.7332911688377812E-2</v>
      </c>
      <c r="S41" s="2">
        <v>0.17466582337675562</v>
      </c>
      <c r="T41" s="2">
        <v>0.17466582337675562</v>
      </c>
      <c r="U41" s="2">
        <v>0.17466582337675562</v>
      </c>
      <c r="V41" s="2">
        <v>0.17466582337675562</v>
      </c>
      <c r="W41" s="2">
        <v>0.17466582337675562</v>
      </c>
      <c r="X41" s="2">
        <v>0.21833227922094456</v>
      </c>
      <c r="Y41" s="2">
        <v>0.87332911688377823</v>
      </c>
      <c r="Z41" s="2">
        <v>0.87332911688377823</v>
      </c>
      <c r="AA41" s="2">
        <v>0.10916613961047228</v>
      </c>
      <c r="AB41" s="2">
        <v>0.10916613961047228</v>
      </c>
      <c r="AC41" s="2">
        <v>8.7332911688377812E-2</v>
      </c>
      <c r="AD41" s="2">
        <v>0.30566519090932237</v>
      </c>
      <c r="AE41" s="2">
        <v>2.6199873506513343</v>
      </c>
      <c r="AF41" s="2">
        <v>0.30566519090932237</v>
      </c>
      <c r="AG41" s="2">
        <v>0.43666455844188912</v>
      </c>
      <c r="AH41" s="2">
        <v>0.17466582337675562</v>
      </c>
      <c r="AI41" s="1">
        <v>10.04328484416345</v>
      </c>
      <c r="AJ41">
        <f t="shared" si="10"/>
        <v>10.04328484416345</v>
      </c>
      <c r="AK41">
        <f t="shared" si="11"/>
        <v>0</v>
      </c>
      <c r="AL41">
        <f t="shared" si="11"/>
        <v>0.26199873506513344</v>
      </c>
      <c r="AM41">
        <f t="shared" si="12"/>
        <v>0.17466582337675562</v>
      </c>
      <c r="AN41">
        <f t="shared" si="12"/>
        <v>0.34933164675351125</v>
      </c>
      <c r="AO41">
        <f t="shared" si="12"/>
        <v>0.13099936753256672</v>
      </c>
      <c r="AP41">
        <f t="shared" si="12"/>
        <v>8.7332911688377812E-2</v>
      </c>
      <c r="AQ41">
        <f t="shared" si="12"/>
        <v>0.43666455844188912</v>
      </c>
      <c r="AR41">
        <f t="shared" si="12"/>
        <v>0.43666455844188912</v>
      </c>
      <c r="AS41">
        <f t="shared" si="12"/>
        <v>8.7332911688377812E-2</v>
      </c>
      <c r="AT41">
        <f t="shared" si="12"/>
        <v>8.7332911688377812E-2</v>
      </c>
      <c r="AU41">
        <f t="shared" si="12"/>
        <v>0.13099936753256672</v>
      </c>
      <c r="AV41">
        <f t="shared" si="12"/>
        <v>0.15283259545466119</v>
      </c>
      <c r="AW41">
        <f t="shared" si="12"/>
        <v>0.15283259545466119</v>
      </c>
      <c r="AX41">
        <f t="shared" si="12"/>
        <v>0.34933164675351125</v>
      </c>
      <c r="AY41">
        <f t="shared" si="12"/>
        <v>4.3666455844188906E-2</v>
      </c>
      <c r="AZ41">
        <f t="shared" si="12"/>
        <v>8.7332911688377812E-2</v>
      </c>
      <c r="BA41">
        <f t="shared" si="12"/>
        <v>8.7332911688377812E-2</v>
      </c>
      <c r="BB41">
        <f t="shared" si="12"/>
        <v>0.17466582337675562</v>
      </c>
      <c r="BC41">
        <f t="shared" si="12"/>
        <v>0.17466582337675562</v>
      </c>
      <c r="BD41">
        <f t="shared" si="12"/>
        <v>0.17466582337675562</v>
      </c>
      <c r="BE41">
        <f t="shared" si="12"/>
        <v>0.17466582337675562</v>
      </c>
      <c r="BF41">
        <f t="shared" si="12"/>
        <v>0.17466582337675562</v>
      </c>
      <c r="BG41">
        <f t="shared" si="12"/>
        <v>0.21833227922094456</v>
      </c>
      <c r="BH41">
        <f t="shared" si="12"/>
        <v>0.87332911688377823</v>
      </c>
      <c r="BI41">
        <f t="shared" si="12"/>
        <v>0.87332911688377823</v>
      </c>
      <c r="BJ41">
        <f t="shared" si="12"/>
        <v>0.10916613961047228</v>
      </c>
      <c r="BK41">
        <f t="shared" si="12"/>
        <v>0.10916613961047228</v>
      </c>
      <c r="BL41">
        <f t="shared" si="12"/>
        <v>8.7332911688377812E-2</v>
      </c>
      <c r="BM41">
        <f t="shared" si="12"/>
        <v>0.30566519090932237</v>
      </c>
      <c r="BN41">
        <f t="shared" si="12"/>
        <v>2.6199873506513343</v>
      </c>
      <c r="BO41">
        <f t="shared" si="12"/>
        <v>0.30566519090932237</v>
      </c>
      <c r="BP41">
        <f t="shared" si="12"/>
        <v>0.43666455844188912</v>
      </c>
      <c r="BQ41">
        <f t="shared" si="12"/>
        <v>0.17466582337675562</v>
      </c>
    </row>
    <row r="42" spans="1:69" x14ac:dyDescent="0.2">
      <c r="A42" s="2">
        <v>12</v>
      </c>
      <c r="B42" s="2">
        <v>0</v>
      </c>
      <c r="C42" s="2">
        <v>0.26564418845410137</v>
      </c>
      <c r="D42" s="2">
        <v>0.17709612563606758</v>
      </c>
      <c r="E42" s="2">
        <v>0.35419225127213516</v>
      </c>
      <c r="F42" s="2">
        <v>0.13282209422705069</v>
      </c>
      <c r="G42" s="2">
        <v>8.854806281803379E-2</v>
      </c>
      <c r="H42" s="2">
        <v>0.44274031409016901</v>
      </c>
      <c r="I42" s="2">
        <v>0.44274031409016901</v>
      </c>
      <c r="J42" s="2">
        <v>8.854806281803379E-2</v>
      </c>
      <c r="K42" s="2">
        <v>8.854806281803379E-2</v>
      </c>
      <c r="L42" s="2">
        <v>0.13282209422705069</v>
      </c>
      <c r="M42" s="2">
        <v>0.15495910993155915</v>
      </c>
      <c r="N42" s="2">
        <v>0.15495910993155915</v>
      </c>
      <c r="O42" s="2">
        <v>0.35419225127213516</v>
      </c>
      <c r="P42" s="2">
        <v>4.4274031409016895E-2</v>
      </c>
      <c r="Q42" s="2">
        <v>8.854806281803379E-2</v>
      </c>
      <c r="R42" s="2">
        <v>8.854806281803379E-2</v>
      </c>
      <c r="S42" s="2">
        <v>0.17709612563606758</v>
      </c>
      <c r="T42" s="2">
        <v>0.17709612563606758</v>
      </c>
      <c r="U42" s="2">
        <v>0.17709612563606758</v>
      </c>
      <c r="V42" s="2">
        <v>0.17709612563606758</v>
      </c>
      <c r="W42" s="2">
        <v>0.17709612563606758</v>
      </c>
      <c r="X42" s="2">
        <v>0.2213701570450845</v>
      </c>
      <c r="Y42" s="2">
        <v>0.88548062818033801</v>
      </c>
      <c r="Z42" s="2">
        <v>0.88548062818033801</v>
      </c>
      <c r="AA42" s="2">
        <v>0.11068507852254225</v>
      </c>
      <c r="AB42" s="2">
        <v>0.11068507852254225</v>
      </c>
      <c r="AC42" s="2">
        <v>8.854806281803379E-2</v>
      </c>
      <c r="AD42" s="2">
        <v>0.30991821986311829</v>
      </c>
      <c r="AE42" s="2">
        <v>2.6564418845410134</v>
      </c>
      <c r="AF42" s="2">
        <v>0.30991821986311829</v>
      </c>
      <c r="AG42" s="2">
        <v>0.44274031409016901</v>
      </c>
      <c r="AH42" s="2">
        <v>0.17709612563606758</v>
      </c>
      <c r="AI42" s="1">
        <v>10.183027224073887</v>
      </c>
      <c r="AJ42">
        <f t="shared" si="10"/>
        <v>10.183027224073886</v>
      </c>
      <c r="AK42">
        <f t="shared" si="11"/>
        <v>0</v>
      </c>
      <c r="AL42">
        <f t="shared" si="11"/>
        <v>0.26564418845410137</v>
      </c>
      <c r="AM42">
        <f t="shared" si="12"/>
        <v>0.17709612563606758</v>
      </c>
      <c r="AN42">
        <f t="shared" si="12"/>
        <v>0.35419225127213516</v>
      </c>
      <c r="AO42">
        <f t="shared" si="12"/>
        <v>0.13282209422705069</v>
      </c>
      <c r="AP42">
        <f t="shared" si="12"/>
        <v>8.854806281803379E-2</v>
      </c>
      <c r="AQ42">
        <f t="shared" si="12"/>
        <v>0.44274031409016901</v>
      </c>
      <c r="AR42">
        <f t="shared" si="12"/>
        <v>0.44274031409016901</v>
      </c>
      <c r="AS42">
        <f t="shared" si="12"/>
        <v>8.854806281803379E-2</v>
      </c>
      <c r="AT42">
        <f t="shared" si="12"/>
        <v>8.854806281803379E-2</v>
      </c>
      <c r="AU42">
        <f t="shared" si="12"/>
        <v>0.13282209422705069</v>
      </c>
      <c r="AV42">
        <f t="shared" si="12"/>
        <v>0.15495910993155915</v>
      </c>
      <c r="AW42">
        <f t="shared" si="12"/>
        <v>0.15495910993155915</v>
      </c>
      <c r="AX42">
        <f t="shared" si="12"/>
        <v>0.35419225127213516</v>
      </c>
      <c r="AY42">
        <f t="shared" si="12"/>
        <v>4.4274031409016895E-2</v>
      </c>
      <c r="AZ42">
        <f t="shared" si="12"/>
        <v>8.854806281803379E-2</v>
      </c>
      <c r="BA42">
        <f t="shared" si="12"/>
        <v>8.854806281803379E-2</v>
      </c>
      <c r="BB42">
        <f t="shared" si="12"/>
        <v>0.17709612563606758</v>
      </c>
      <c r="BC42">
        <f t="shared" si="12"/>
        <v>0.17709612563606758</v>
      </c>
      <c r="BD42">
        <f t="shared" si="12"/>
        <v>0.17709612563606758</v>
      </c>
      <c r="BE42">
        <f t="shared" si="12"/>
        <v>0.17709612563606758</v>
      </c>
      <c r="BF42">
        <f t="shared" si="12"/>
        <v>0.17709612563606758</v>
      </c>
      <c r="BG42">
        <f t="shared" si="12"/>
        <v>0.2213701570450845</v>
      </c>
      <c r="BH42">
        <f t="shared" si="12"/>
        <v>0.88548062818033801</v>
      </c>
      <c r="BI42">
        <f t="shared" si="12"/>
        <v>0.88548062818033801</v>
      </c>
      <c r="BJ42">
        <f t="shared" si="12"/>
        <v>0.11068507852254225</v>
      </c>
      <c r="BK42">
        <f t="shared" si="12"/>
        <v>0.11068507852254225</v>
      </c>
      <c r="BL42">
        <f t="shared" si="12"/>
        <v>8.854806281803379E-2</v>
      </c>
      <c r="BM42">
        <f t="shared" si="12"/>
        <v>0.30991821986311829</v>
      </c>
      <c r="BN42">
        <f t="shared" si="12"/>
        <v>2.6564418845410134</v>
      </c>
      <c r="BO42">
        <f t="shared" si="12"/>
        <v>0.30991821986311829</v>
      </c>
      <c r="BP42">
        <f t="shared" si="12"/>
        <v>0.44274031409016901</v>
      </c>
      <c r="BQ42">
        <f t="shared" si="12"/>
        <v>0.17709612563606758</v>
      </c>
    </row>
    <row r="43" spans="1:69" x14ac:dyDescent="0.2">
      <c r="A43" s="2">
        <v>13</v>
      </c>
      <c r="B43" s="2">
        <v>0</v>
      </c>
      <c r="C43" s="2">
        <v>0.24510205860726639</v>
      </c>
      <c r="D43" s="2">
        <v>0.16340137240484426</v>
      </c>
      <c r="E43" s="2">
        <v>0.32680274480968852</v>
      </c>
      <c r="F43" s="2">
        <v>0.12255102930363319</v>
      </c>
      <c r="G43" s="2">
        <v>8.1700686202422129E-2</v>
      </c>
      <c r="H43" s="2">
        <v>0.40850343101211073</v>
      </c>
      <c r="I43" s="2">
        <v>0.40850343101211073</v>
      </c>
      <c r="J43" s="2">
        <v>8.1700686202422129E-2</v>
      </c>
      <c r="K43" s="2">
        <v>8.1700686202422129E-2</v>
      </c>
      <c r="L43" s="2">
        <v>0.12255102930363319</v>
      </c>
      <c r="M43" s="2">
        <v>0.14297620085423873</v>
      </c>
      <c r="N43" s="2">
        <v>0.14297620085423873</v>
      </c>
      <c r="O43" s="2">
        <v>0.32680274480968852</v>
      </c>
      <c r="P43" s="2">
        <v>4.0850343101211065E-2</v>
      </c>
      <c r="Q43" s="2">
        <v>8.1700686202422129E-2</v>
      </c>
      <c r="R43" s="2">
        <v>8.1700686202422129E-2</v>
      </c>
      <c r="S43" s="2">
        <v>0.16340137240484426</v>
      </c>
      <c r="T43" s="2">
        <v>0.16340137240484426</v>
      </c>
      <c r="U43" s="2">
        <v>0.16340137240484426</v>
      </c>
      <c r="V43" s="2">
        <v>0.16340137240484426</v>
      </c>
      <c r="W43" s="2">
        <v>0.16340137240484426</v>
      </c>
      <c r="X43" s="2">
        <v>0.20425171550605536</v>
      </c>
      <c r="Y43" s="2">
        <v>0.81700686202422146</v>
      </c>
      <c r="Z43" s="2">
        <v>0.81700686202422146</v>
      </c>
      <c r="AA43" s="2">
        <v>0.10212585775302768</v>
      </c>
      <c r="AB43" s="2">
        <v>0.10212585775302768</v>
      </c>
      <c r="AC43" s="2">
        <v>8.1700686202422129E-2</v>
      </c>
      <c r="AD43" s="2">
        <v>0.28595240170847747</v>
      </c>
      <c r="AE43" s="2">
        <v>2.4510205860726639</v>
      </c>
      <c r="AF43" s="2">
        <v>0.28595240170847747</v>
      </c>
      <c r="AG43" s="2">
        <v>0.40850343101211073</v>
      </c>
      <c r="AH43" s="2">
        <v>0.16340137240484426</v>
      </c>
      <c r="AI43" s="1">
        <v>9.3955789132785466</v>
      </c>
      <c r="AJ43">
        <f t="shared" si="10"/>
        <v>9.3955789132785483</v>
      </c>
      <c r="AK43">
        <f t="shared" si="11"/>
        <v>0</v>
      </c>
      <c r="AL43">
        <f t="shared" si="11"/>
        <v>0.24510205860726639</v>
      </c>
      <c r="AM43">
        <f t="shared" si="12"/>
        <v>0.16340137240484426</v>
      </c>
      <c r="AN43">
        <f t="shared" si="12"/>
        <v>0.32680274480968852</v>
      </c>
      <c r="AO43">
        <f t="shared" si="12"/>
        <v>0.12255102930363319</v>
      </c>
      <c r="AP43">
        <f t="shared" si="12"/>
        <v>8.1700686202422129E-2</v>
      </c>
      <c r="AQ43">
        <f t="shared" si="12"/>
        <v>0.40850343101211073</v>
      </c>
      <c r="AR43">
        <f t="shared" si="12"/>
        <v>0.40850343101211073</v>
      </c>
      <c r="AS43">
        <f t="shared" si="12"/>
        <v>8.1700686202422129E-2</v>
      </c>
      <c r="AT43">
        <f t="shared" si="12"/>
        <v>8.1700686202422129E-2</v>
      </c>
      <c r="AU43">
        <f t="shared" si="12"/>
        <v>0.12255102930363319</v>
      </c>
      <c r="AV43">
        <f t="shared" si="12"/>
        <v>0.14297620085423873</v>
      </c>
      <c r="AW43">
        <f t="shared" si="12"/>
        <v>0.14297620085423873</v>
      </c>
      <c r="AX43">
        <f t="shared" si="12"/>
        <v>0.32680274480968852</v>
      </c>
      <c r="AY43">
        <f t="shared" si="12"/>
        <v>4.0850343101211065E-2</v>
      </c>
      <c r="AZ43">
        <f t="shared" si="12"/>
        <v>8.1700686202422129E-2</v>
      </c>
      <c r="BA43">
        <f t="shared" si="12"/>
        <v>8.1700686202422129E-2</v>
      </c>
      <c r="BB43">
        <f t="shared" si="12"/>
        <v>0.16340137240484426</v>
      </c>
      <c r="BC43">
        <f t="shared" si="12"/>
        <v>0.16340137240484426</v>
      </c>
      <c r="BD43">
        <f t="shared" si="12"/>
        <v>0.16340137240484426</v>
      </c>
      <c r="BE43">
        <f t="shared" si="12"/>
        <v>0.16340137240484426</v>
      </c>
      <c r="BF43">
        <f t="shared" si="12"/>
        <v>0.16340137240484426</v>
      </c>
      <c r="BG43">
        <f t="shared" si="12"/>
        <v>0.20425171550605536</v>
      </c>
      <c r="BH43">
        <f t="shared" si="12"/>
        <v>0.81700686202422146</v>
      </c>
      <c r="BI43">
        <f t="shared" si="12"/>
        <v>0.81700686202422146</v>
      </c>
      <c r="BJ43">
        <f t="shared" si="12"/>
        <v>0.10212585775302768</v>
      </c>
      <c r="BK43">
        <f t="shared" si="12"/>
        <v>0.10212585775302768</v>
      </c>
      <c r="BL43">
        <f t="shared" si="12"/>
        <v>8.1700686202422129E-2</v>
      </c>
      <c r="BM43">
        <f t="shared" si="12"/>
        <v>0.28595240170847747</v>
      </c>
      <c r="BN43">
        <f t="shared" si="12"/>
        <v>2.4510205860726639</v>
      </c>
      <c r="BO43">
        <f t="shared" si="12"/>
        <v>0.28595240170847747</v>
      </c>
      <c r="BP43">
        <f t="shared" si="12"/>
        <v>0.40850343101211073</v>
      </c>
      <c r="BQ43">
        <f t="shared" si="12"/>
        <v>0.16340137240484426</v>
      </c>
    </row>
    <row r="44" spans="1:69" x14ac:dyDescent="0.2">
      <c r="A44" s="2">
        <v>14</v>
      </c>
      <c r="B44" s="2">
        <v>0</v>
      </c>
      <c r="C44" s="2">
        <v>0.24231328676470584</v>
      </c>
      <c r="D44" s="2">
        <v>0.16154219117647056</v>
      </c>
      <c r="E44" s="2">
        <v>0.32308438235294112</v>
      </c>
      <c r="F44" s="2">
        <v>0.12115664338235292</v>
      </c>
      <c r="G44" s="2">
        <v>8.0771095588235281E-2</v>
      </c>
      <c r="H44" s="2">
        <v>0.40385547794117649</v>
      </c>
      <c r="I44" s="2">
        <v>0.40385547794117649</v>
      </c>
      <c r="J44" s="2">
        <v>8.0771095588235281E-2</v>
      </c>
      <c r="K44" s="2">
        <v>8.0771095588235281E-2</v>
      </c>
      <c r="L44" s="2">
        <v>0.12115664338235292</v>
      </c>
      <c r="M44" s="2">
        <v>0.14134941727941175</v>
      </c>
      <c r="N44" s="2">
        <v>0.14134941727941175</v>
      </c>
      <c r="O44" s="2">
        <v>0.32308438235294112</v>
      </c>
      <c r="P44" s="2">
        <v>4.0385547794117641E-2</v>
      </c>
      <c r="Q44" s="2">
        <v>8.0771095588235281E-2</v>
      </c>
      <c r="R44" s="2">
        <v>8.0771095588235281E-2</v>
      </c>
      <c r="S44" s="2">
        <v>0.16154219117647056</v>
      </c>
      <c r="T44" s="2">
        <v>0.16154219117647056</v>
      </c>
      <c r="U44" s="2">
        <v>0.16154219117647056</v>
      </c>
      <c r="V44" s="2">
        <v>0.16154219117647056</v>
      </c>
      <c r="W44" s="2">
        <v>0.16154219117647056</v>
      </c>
      <c r="X44" s="2">
        <v>0.20192773897058824</v>
      </c>
      <c r="Y44" s="2">
        <v>0.80771095588235298</v>
      </c>
      <c r="Z44" s="2">
        <v>0.80771095588235298</v>
      </c>
      <c r="AA44" s="2">
        <v>0.10096386948529412</v>
      </c>
      <c r="AB44" s="2">
        <v>0.10096386948529412</v>
      </c>
      <c r="AC44" s="2">
        <v>8.0771095588235281E-2</v>
      </c>
      <c r="AD44" s="2">
        <v>0.2826988345588235</v>
      </c>
      <c r="AE44" s="2">
        <v>2.4231328676470585</v>
      </c>
      <c r="AF44" s="2">
        <v>0.2826988345588235</v>
      </c>
      <c r="AG44" s="2">
        <v>0.40385547794117649</v>
      </c>
      <c r="AH44" s="2">
        <v>0.16154219117647056</v>
      </c>
      <c r="AI44" s="1">
        <v>9.2886759926470592</v>
      </c>
      <c r="AJ44">
        <f t="shared" si="10"/>
        <v>9.2886759926470592</v>
      </c>
      <c r="AK44">
        <f t="shared" si="11"/>
        <v>0</v>
      </c>
      <c r="AL44">
        <f t="shared" si="11"/>
        <v>0.24231328676470584</v>
      </c>
      <c r="AM44">
        <f t="shared" si="12"/>
        <v>0.16154219117647056</v>
      </c>
      <c r="AN44">
        <f t="shared" si="12"/>
        <v>0.32308438235294112</v>
      </c>
      <c r="AO44">
        <f t="shared" si="12"/>
        <v>0.12115664338235292</v>
      </c>
      <c r="AP44">
        <f t="shared" si="12"/>
        <v>8.0771095588235281E-2</v>
      </c>
      <c r="AQ44">
        <f t="shared" si="12"/>
        <v>0.40385547794117649</v>
      </c>
      <c r="AR44">
        <f t="shared" si="12"/>
        <v>0.40385547794117649</v>
      </c>
      <c r="AS44">
        <f t="shared" si="12"/>
        <v>8.0771095588235281E-2</v>
      </c>
      <c r="AT44">
        <f t="shared" si="12"/>
        <v>8.0771095588235281E-2</v>
      </c>
      <c r="AU44">
        <f t="shared" si="12"/>
        <v>0.12115664338235292</v>
      </c>
      <c r="AV44">
        <f t="shared" si="12"/>
        <v>0.14134941727941175</v>
      </c>
      <c r="AW44">
        <f t="shared" si="12"/>
        <v>0.14134941727941175</v>
      </c>
      <c r="AX44">
        <f t="shared" si="12"/>
        <v>0.32308438235294112</v>
      </c>
      <c r="AY44">
        <f t="shared" si="12"/>
        <v>4.0385547794117641E-2</v>
      </c>
      <c r="AZ44">
        <f t="shared" si="12"/>
        <v>8.0771095588235281E-2</v>
      </c>
      <c r="BA44">
        <f t="shared" si="12"/>
        <v>8.0771095588235281E-2</v>
      </c>
      <c r="BB44">
        <f t="shared" si="12"/>
        <v>0.16154219117647056</v>
      </c>
      <c r="BC44">
        <f t="shared" si="12"/>
        <v>0.16154219117647056</v>
      </c>
      <c r="BD44">
        <f t="shared" si="12"/>
        <v>0.16154219117647056</v>
      </c>
      <c r="BE44">
        <f t="shared" si="12"/>
        <v>0.16154219117647056</v>
      </c>
      <c r="BF44">
        <f t="shared" si="12"/>
        <v>0.16154219117647056</v>
      </c>
      <c r="BG44">
        <f t="shared" si="12"/>
        <v>0.20192773897058824</v>
      </c>
      <c r="BH44">
        <f t="shared" si="12"/>
        <v>0.80771095588235298</v>
      </c>
      <c r="BI44">
        <f t="shared" si="12"/>
        <v>0.80771095588235298</v>
      </c>
      <c r="BJ44">
        <f t="shared" si="12"/>
        <v>0.10096386948529412</v>
      </c>
      <c r="BK44">
        <f t="shared" si="12"/>
        <v>0.10096386948529412</v>
      </c>
      <c r="BL44">
        <f t="shared" si="12"/>
        <v>8.0771095588235281E-2</v>
      </c>
      <c r="BM44">
        <f t="shared" si="12"/>
        <v>0.2826988345588235</v>
      </c>
      <c r="BN44">
        <f t="shared" si="12"/>
        <v>2.4231328676470585</v>
      </c>
      <c r="BO44">
        <f t="shared" si="12"/>
        <v>0.2826988345588235</v>
      </c>
      <c r="BP44">
        <f t="shared" si="12"/>
        <v>0.40385547794117649</v>
      </c>
      <c r="BQ44">
        <f t="shared" si="12"/>
        <v>0.16154219117647056</v>
      </c>
    </row>
    <row r="45" spans="1:69" x14ac:dyDescent="0.2">
      <c r="A45" s="2">
        <v>15</v>
      </c>
      <c r="B45" s="2">
        <v>0</v>
      </c>
      <c r="C45" s="2">
        <v>0.24560330844824962</v>
      </c>
      <c r="D45" s="2">
        <v>0.16373553896549975</v>
      </c>
      <c r="E45" s="2">
        <v>0.3274710779309995</v>
      </c>
      <c r="F45" s="2">
        <v>0.12280165422412481</v>
      </c>
      <c r="G45" s="2">
        <v>8.1867769482749875E-2</v>
      </c>
      <c r="H45" s="2">
        <v>0.40933884741374943</v>
      </c>
      <c r="I45" s="2">
        <v>0.40933884741374943</v>
      </c>
      <c r="J45" s="2">
        <v>8.1867769482749875E-2</v>
      </c>
      <c r="K45" s="2">
        <v>8.1867769482749875E-2</v>
      </c>
      <c r="L45" s="2">
        <v>0.12280165422412481</v>
      </c>
      <c r="M45" s="2">
        <v>0.14326859659481228</v>
      </c>
      <c r="N45" s="2">
        <v>0.14326859659481228</v>
      </c>
      <c r="O45" s="2">
        <v>0.3274710779309995</v>
      </c>
      <c r="P45" s="2">
        <v>4.0933884741374937E-2</v>
      </c>
      <c r="Q45" s="2">
        <v>8.1867769482749875E-2</v>
      </c>
      <c r="R45" s="2">
        <v>8.1867769482749875E-2</v>
      </c>
      <c r="S45" s="2">
        <v>0.16373553896549975</v>
      </c>
      <c r="T45" s="2">
        <v>0.16373553896549975</v>
      </c>
      <c r="U45" s="2">
        <v>0.16373553896549975</v>
      </c>
      <c r="V45" s="2">
        <v>0.16373553896549975</v>
      </c>
      <c r="W45" s="2">
        <v>0.16373553896549975</v>
      </c>
      <c r="X45" s="2">
        <v>0.20466942370687471</v>
      </c>
      <c r="Y45" s="2">
        <v>0.81867769482749886</v>
      </c>
      <c r="Z45" s="2">
        <v>0.81867769482749886</v>
      </c>
      <c r="AA45" s="2">
        <v>0.10233471185343736</v>
      </c>
      <c r="AB45" s="2">
        <v>0.10233471185343736</v>
      </c>
      <c r="AC45" s="2">
        <v>8.1867769482749875E-2</v>
      </c>
      <c r="AD45" s="2">
        <v>0.28653719318962456</v>
      </c>
      <c r="AE45" s="2">
        <v>2.4560330844824958</v>
      </c>
      <c r="AF45" s="2">
        <v>0.28653719318962456</v>
      </c>
      <c r="AG45" s="2">
        <v>0.40933884741374943</v>
      </c>
      <c r="AH45" s="2">
        <v>0.16373553896549975</v>
      </c>
      <c r="AI45" s="1">
        <v>9.4147934905162369</v>
      </c>
      <c r="AJ45">
        <f t="shared" si="10"/>
        <v>9.4147934905162352</v>
      </c>
      <c r="AK45">
        <f t="shared" si="11"/>
        <v>0</v>
      </c>
      <c r="AL45">
        <f t="shared" si="11"/>
        <v>0.24560330844824962</v>
      </c>
      <c r="AM45">
        <f t="shared" si="12"/>
        <v>0.16373553896549975</v>
      </c>
      <c r="AN45">
        <f t="shared" si="12"/>
        <v>0.3274710779309995</v>
      </c>
      <c r="AO45">
        <f t="shared" si="12"/>
        <v>0.12280165422412481</v>
      </c>
      <c r="AP45">
        <f t="shared" si="12"/>
        <v>8.1867769482749875E-2</v>
      </c>
      <c r="AQ45">
        <f t="shared" si="12"/>
        <v>0.40933884741374943</v>
      </c>
      <c r="AR45">
        <f t="shared" si="12"/>
        <v>0.40933884741374943</v>
      </c>
      <c r="AS45">
        <f t="shared" si="12"/>
        <v>8.1867769482749875E-2</v>
      </c>
      <c r="AT45">
        <f t="shared" si="12"/>
        <v>8.1867769482749875E-2</v>
      </c>
      <c r="AU45">
        <f t="shared" si="12"/>
        <v>0.12280165422412481</v>
      </c>
      <c r="AV45">
        <f t="shared" si="12"/>
        <v>0.14326859659481228</v>
      </c>
      <c r="AW45">
        <f t="shared" si="12"/>
        <v>0.14326859659481228</v>
      </c>
      <c r="AX45">
        <f t="shared" si="12"/>
        <v>0.3274710779309995</v>
      </c>
      <c r="AY45">
        <f t="shared" si="12"/>
        <v>4.0933884741374937E-2</v>
      </c>
      <c r="AZ45">
        <f t="shared" si="12"/>
        <v>8.1867769482749875E-2</v>
      </c>
      <c r="BA45">
        <f t="shared" si="12"/>
        <v>8.1867769482749875E-2</v>
      </c>
      <c r="BB45">
        <f t="shared" si="12"/>
        <v>0.16373553896549975</v>
      </c>
      <c r="BC45">
        <f t="shared" si="12"/>
        <v>0.16373553896549975</v>
      </c>
      <c r="BD45">
        <f t="shared" si="12"/>
        <v>0.16373553896549975</v>
      </c>
      <c r="BE45">
        <f t="shared" si="12"/>
        <v>0.16373553896549975</v>
      </c>
      <c r="BF45">
        <f t="shared" si="12"/>
        <v>0.16373553896549975</v>
      </c>
      <c r="BG45">
        <f t="shared" si="12"/>
        <v>0.20466942370687471</v>
      </c>
      <c r="BH45">
        <f t="shared" si="12"/>
        <v>0.81867769482749886</v>
      </c>
      <c r="BI45">
        <f t="shared" si="12"/>
        <v>0.81867769482749886</v>
      </c>
      <c r="BJ45">
        <f t="shared" si="12"/>
        <v>0.10233471185343736</v>
      </c>
      <c r="BK45">
        <f t="shared" si="12"/>
        <v>0.10233471185343736</v>
      </c>
      <c r="BL45">
        <f t="shared" si="12"/>
        <v>8.1867769482749875E-2</v>
      </c>
      <c r="BM45">
        <f t="shared" si="12"/>
        <v>0.28653719318962456</v>
      </c>
      <c r="BN45">
        <f t="shared" si="12"/>
        <v>2.4560330844824958</v>
      </c>
      <c r="BO45">
        <f t="shared" si="12"/>
        <v>0.28653719318962456</v>
      </c>
      <c r="BP45">
        <f t="shared" si="12"/>
        <v>0.40933884741374943</v>
      </c>
      <c r="BQ45">
        <f t="shared" si="12"/>
        <v>0.16373553896549975</v>
      </c>
    </row>
    <row r="46" spans="1:69" x14ac:dyDescent="0.2">
      <c r="A46" s="2">
        <v>16</v>
      </c>
      <c r="B46" s="2">
        <v>0</v>
      </c>
      <c r="C46" s="2">
        <v>0.24810044401969281</v>
      </c>
      <c r="D46" s="2">
        <v>0.16540029601312856</v>
      </c>
      <c r="E46" s="2">
        <v>0.33080059202625711</v>
      </c>
      <c r="F46" s="2">
        <v>0.1240502220098464</v>
      </c>
      <c r="G46" s="2">
        <v>8.2700148006564278E-2</v>
      </c>
      <c r="H46" s="2">
        <v>0.41350074003282145</v>
      </c>
      <c r="I46" s="2">
        <v>0.41350074003282145</v>
      </c>
      <c r="J46" s="2">
        <v>8.2700148006564278E-2</v>
      </c>
      <c r="K46" s="2">
        <v>8.2700148006564278E-2</v>
      </c>
      <c r="L46" s="2">
        <v>0.1240502220098464</v>
      </c>
      <c r="M46" s="2">
        <v>0.1447252590114875</v>
      </c>
      <c r="N46" s="2">
        <v>0.1447252590114875</v>
      </c>
      <c r="O46" s="2">
        <v>0.33080059202625711</v>
      </c>
      <c r="P46" s="2">
        <v>4.1350074003282139E-2</v>
      </c>
      <c r="Q46" s="2">
        <v>8.2700148006564278E-2</v>
      </c>
      <c r="R46" s="2">
        <v>8.2700148006564278E-2</v>
      </c>
      <c r="S46" s="2">
        <v>0.16540029601312856</v>
      </c>
      <c r="T46" s="2">
        <v>0.16540029601312856</v>
      </c>
      <c r="U46" s="2">
        <v>0.16540029601312856</v>
      </c>
      <c r="V46" s="2">
        <v>0.16540029601312856</v>
      </c>
      <c r="W46" s="2">
        <v>0.16540029601312856</v>
      </c>
      <c r="X46" s="2">
        <v>0.20675037001641072</v>
      </c>
      <c r="Y46" s="2">
        <v>0.82700148006564289</v>
      </c>
      <c r="Z46" s="2">
        <v>0.82700148006564289</v>
      </c>
      <c r="AA46" s="2">
        <v>0.10337518500820536</v>
      </c>
      <c r="AB46" s="2">
        <v>0.10337518500820536</v>
      </c>
      <c r="AC46" s="2">
        <v>8.2700148006564278E-2</v>
      </c>
      <c r="AD46" s="2">
        <v>0.289450518022975</v>
      </c>
      <c r="AE46" s="2">
        <v>2.4810044401969282</v>
      </c>
      <c r="AF46" s="2">
        <v>0.289450518022975</v>
      </c>
      <c r="AG46" s="2">
        <v>0.41350074003282145</v>
      </c>
      <c r="AH46" s="2">
        <v>0.16540029601312856</v>
      </c>
      <c r="AI46" s="1">
        <v>9.510517020754893</v>
      </c>
      <c r="AJ46">
        <f t="shared" si="10"/>
        <v>9.5105170207548912</v>
      </c>
      <c r="AK46">
        <f t="shared" si="11"/>
        <v>0</v>
      </c>
      <c r="AL46">
        <f t="shared" si="11"/>
        <v>0.24810044401969281</v>
      </c>
      <c r="AM46">
        <f t="shared" si="12"/>
        <v>0.16540029601312856</v>
      </c>
      <c r="AN46">
        <f t="shared" si="12"/>
        <v>0.33080059202625711</v>
      </c>
      <c r="AO46">
        <f t="shared" si="12"/>
        <v>0.1240502220098464</v>
      </c>
      <c r="AP46">
        <f t="shared" si="12"/>
        <v>8.2700148006564278E-2</v>
      </c>
      <c r="AQ46">
        <f t="shared" si="12"/>
        <v>0.41350074003282145</v>
      </c>
      <c r="AR46">
        <f t="shared" si="12"/>
        <v>0.41350074003282145</v>
      </c>
      <c r="AS46">
        <f t="shared" si="12"/>
        <v>8.2700148006564278E-2</v>
      </c>
      <c r="AT46">
        <f t="shared" si="12"/>
        <v>8.2700148006564278E-2</v>
      </c>
      <c r="AU46">
        <f t="shared" si="12"/>
        <v>0.1240502220098464</v>
      </c>
      <c r="AV46">
        <f t="shared" si="12"/>
        <v>0.1447252590114875</v>
      </c>
      <c r="AW46">
        <f t="shared" si="12"/>
        <v>0.1447252590114875</v>
      </c>
      <c r="AX46">
        <f t="shared" si="12"/>
        <v>0.33080059202625711</v>
      </c>
      <c r="AY46">
        <f t="shared" si="12"/>
        <v>4.1350074003282139E-2</v>
      </c>
      <c r="AZ46">
        <f t="shared" si="12"/>
        <v>8.2700148006564278E-2</v>
      </c>
      <c r="BA46">
        <f t="shared" si="12"/>
        <v>8.2700148006564278E-2</v>
      </c>
      <c r="BB46">
        <f t="shared" si="12"/>
        <v>0.16540029601312856</v>
      </c>
      <c r="BC46">
        <f t="shared" si="12"/>
        <v>0.16540029601312856</v>
      </c>
      <c r="BD46">
        <f t="shared" si="12"/>
        <v>0.16540029601312856</v>
      </c>
      <c r="BE46">
        <f t="shared" si="12"/>
        <v>0.16540029601312856</v>
      </c>
      <c r="BF46">
        <f t="shared" si="12"/>
        <v>0.16540029601312856</v>
      </c>
      <c r="BG46">
        <f t="shared" si="12"/>
        <v>0.20675037001641072</v>
      </c>
      <c r="BH46">
        <f t="shared" si="12"/>
        <v>0.82700148006564289</v>
      </c>
      <c r="BI46">
        <f t="shared" si="12"/>
        <v>0.82700148006564289</v>
      </c>
      <c r="BJ46">
        <f t="shared" si="12"/>
        <v>0.10337518500820536</v>
      </c>
      <c r="BK46">
        <f t="shared" si="12"/>
        <v>0.10337518500820536</v>
      </c>
      <c r="BL46">
        <f t="shared" si="12"/>
        <v>8.2700148006564278E-2</v>
      </c>
      <c r="BM46">
        <f t="shared" si="12"/>
        <v>0.289450518022975</v>
      </c>
      <c r="BN46">
        <f t="shared" si="12"/>
        <v>2.4810044401969282</v>
      </c>
      <c r="BO46">
        <f t="shared" si="12"/>
        <v>0.289450518022975</v>
      </c>
      <c r="BP46">
        <f t="shared" si="12"/>
        <v>0.41350074003282145</v>
      </c>
      <c r="BQ46">
        <f t="shared" si="12"/>
        <v>0.16540029601312856</v>
      </c>
    </row>
    <row r="47" spans="1:69" x14ac:dyDescent="0.2">
      <c r="A47" s="2">
        <v>17</v>
      </c>
      <c r="B47" s="2">
        <v>0</v>
      </c>
      <c r="C47" s="2">
        <v>0.25182792010991223</v>
      </c>
      <c r="D47" s="2">
        <v>0.16788528007327483</v>
      </c>
      <c r="E47" s="2">
        <v>0.33577056014654966</v>
      </c>
      <c r="F47" s="2">
        <v>0.12591396005495611</v>
      </c>
      <c r="G47" s="2">
        <v>8.3942640036637414E-2</v>
      </c>
      <c r="H47" s="2">
        <v>0.41971320018318714</v>
      </c>
      <c r="I47" s="2">
        <v>0.41971320018318714</v>
      </c>
      <c r="J47" s="2">
        <v>8.3942640036637414E-2</v>
      </c>
      <c r="K47" s="2">
        <v>8.3942640036637414E-2</v>
      </c>
      <c r="L47" s="2">
        <v>0.12591396005495611</v>
      </c>
      <c r="M47" s="2">
        <v>0.1468996200641155</v>
      </c>
      <c r="N47" s="2">
        <v>0.1468996200641155</v>
      </c>
      <c r="O47" s="2">
        <v>0.33577056014654966</v>
      </c>
      <c r="P47" s="2">
        <v>4.1971320018318707E-2</v>
      </c>
      <c r="Q47" s="2">
        <v>8.3942640036637414E-2</v>
      </c>
      <c r="R47" s="2">
        <v>8.3942640036637414E-2</v>
      </c>
      <c r="S47" s="2">
        <v>0.16788528007327483</v>
      </c>
      <c r="T47" s="2">
        <v>0.16788528007327483</v>
      </c>
      <c r="U47" s="2">
        <v>0.16788528007327483</v>
      </c>
      <c r="V47" s="2">
        <v>0.16788528007327483</v>
      </c>
      <c r="W47" s="2">
        <v>0.16788528007327483</v>
      </c>
      <c r="X47" s="2">
        <v>0.20985660009159357</v>
      </c>
      <c r="Y47" s="2">
        <v>0.83942640036637428</v>
      </c>
      <c r="Z47" s="2">
        <v>0.83942640036637428</v>
      </c>
      <c r="AA47" s="2">
        <v>0.10492830004579679</v>
      </c>
      <c r="AB47" s="2">
        <v>0.10492830004579679</v>
      </c>
      <c r="AC47" s="2">
        <v>8.3942640036637414E-2</v>
      </c>
      <c r="AD47" s="2">
        <v>0.293799240128231</v>
      </c>
      <c r="AE47" s="2">
        <v>2.5182792010991224</v>
      </c>
      <c r="AF47" s="2">
        <v>0.293799240128231</v>
      </c>
      <c r="AG47" s="2">
        <v>0.41971320018318714</v>
      </c>
      <c r="AH47" s="2">
        <v>0.16788528007327483</v>
      </c>
      <c r="AI47" s="1">
        <v>9.6534036042133042</v>
      </c>
      <c r="AJ47">
        <f t="shared" si="10"/>
        <v>9.6534036042133042</v>
      </c>
      <c r="AK47">
        <f t="shared" si="11"/>
        <v>0</v>
      </c>
      <c r="AL47">
        <f t="shared" si="11"/>
        <v>0.25182792010991223</v>
      </c>
      <c r="AM47">
        <f t="shared" si="12"/>
        <v>0.16788528007327483</v>
      </c>
      <c r="AN47">
        <f t="shared" si="12"/>
        <v>0.33577056014654966</v>
      </c>
      <c r="AO47">
        <f t="shared" si="12"/>
        <v>0.12591396005495611</v>
      </c>
      <c r="AP47">
        <f t="shared" si="12"/>
        <v>8.3942640036637414E-2</v>
      </c>
      <c r="AQ47">
        <f t="shared" si="12"/>
        <v>0.41971320018318714</v>
      </c>
      <c r="AR47">
        <f t="shared" si="12"/>
        <v>0.41971320018318714</v>
      </c>
      <c r="AS47">
        <f t="shared" si="12"/>
        <v>8.3942640036637414E-2</v>
      </c>
      <c r="AT47">
        <f t="shared" si="12"/>
        <v>8.3942640036637414E-2</v>
      </c>
      <c r="AU47">
        <f t="shared" si="12"/>
        <v>0.12591396005495611</v>
      </c>
      <c r="AV47">
        <f t="shared" si="12"/>
        <v>0.1468996200641155</v>
      </c>
      <c r="AW47">
        <f t="shared" si="12"/>
        <v>0.1468996200641155</v>
      </c>
      <c r="AX47">
        <f t="shared" si="12"/>
        <v>0.33577056014654966</v>
      </c>
      <c r="AY47">
        <f t="shared" si="12"/>
        <v>4.1971320018318707E-2</v>
      </c>
      <c r="AZ47">
        <f t="shared" si="12"/>
        <v>8.3942640036637414E-2</v>
      </c>
      <c r="BA47">
        <f t="shared" si="12"/>
        <v>8.3942640036637414E-2</v>
      </c>
      <c r="BB47">
        <f t="shared" si="12"/>
        <v>0.16788528007327483</v>
      </c>
      <c r="BC47">
        <f t="shared" si="12"/>
        <v>0.16788528007327483</v>
      </c>
      <c r="BD47">
        <f t="shared" si="12"/>
        <v>0.16788528007327483</v>
      </c>
      <c r="BE47">
        <f t="shared" si="12"/>
        <v>0.16788528007327483</v>
      </c>
      <c r="BF47">
        <f t="shared" si="12"/>
        <v>0.16788528007327483</v>
      </c>
      <c r="BG47">
        <f t="shared" si="12"/>
        <v>0.20985660009159357</v>
      </c>
      <c r="BH47">
        <f t="shared" si="12"/>
        <v>0.83942640036637428</v>
      </c>
      <c r="BI47">
        <f t="shared" si="12"/>
        <v>0.83942640036637428</v>
      </c>
      <c r="BJ47">
        <f t="shared" si="12"/>
        <v>0.10492830004579679</v>
      </c>
      <c r="BK47">
        <f t="shared" si="12"/>
        <v>0.10492830004579679</v>
      </c>
      <c r="BL47">
        <f t="shared" si="12"/>
        <v>8.3942640036637414E-2</v>
      </c>
      <c r="BM47">
        <f t="shared" si="12"/>
        <v>0.293799240128231</v>
      </c>
      <c r="BN47">
        <f t="shared" si="12"/>
        <v>2.5182792010991224</v>
      </c>
      <c r="BO47">
        <f t="shared" ref="AM47:BQ54" si="13">$AI47*BO$30</f>
        <v>0.293799240128231</v>
      </c>
      <c r="BP47">
        <f t="shared" si="13"/>
        <v>0.41971320018318714</v>
      </c>
      <c r="BQ47">
        <f t="shared" si="13"/>
        <v>0.16788528007327483</v>
      </c>
    </row>
    <row r="48" spans="1:69" x14ac:dyDescent="0.2">
      <c r="A48" s="2">
        <v>18</v>
      </c>
      <c r="B48" s="2">
        <v>0</v>
      </c>
      <c r="C48" s="2">
        <v>0.25644853228042941</v>
      </c>
      <c r="D48" s="2">
        <v>0.17096568818695293</v>
      </c>
      <c r="E48" s="2">
        <v>0.34193137637390586</v>
      </c>
      <c r="F48" s="2">
        <v>0.1282242661402147</v>
      </c>
      <c r="G48" s="2">
        <v>8.5482844093476465E-2</v>
      </c>
      <c r="H48" s="2">
        <v>0.42741422046738242</v>
      </c>
      <c r="I48" s="2">
        <v>0.42741422046738242</v>
      </c>
      <c r="J48" s="2">
        <v>8.5482844093476465E-2</v>
      </c>
      <c r="K48" s="2">
        <v>8.5482844093476465E-2</v>
      </c>
      <c r="L48" s="2">
        <v>0.1282242661402147</v>
      </c>
      <c r="M48" s="2">
        <v>0.14959497716358383</v>
      </c>
      <c r="N48" s="2">
        <v>0.14959497716358383</v>
      </c>
      <c r="O48" s="2">
        <v>0.34193137637390586</v>
      </c>
      <c r="P48" s="2">
        <v>4.2741422046738232E-2</v>
      </c>
      <c r="Q48" s="2">
        <v>8.5482844093476465E-2</v>
      </c>
      <c r="R48" s="2">
        <v>8.5482844093476465E-2</v>
      </c>
      <c r="S48" s="2">
        <v>0.17096568818695293</v>
      </c>
      <c r="T48" s="2">
        <v>0.17096568818695293</v>
      </c>
      <c r="U48" s="2">
        <v>0.17096568818695293</v>
      </c>
      <c r="V48" s="2">
        <v>0.17096568818695293</v>
      </c>
      <c r="W48" s="2">
        <v>0.17096568818695293</v>
      </c>
      <c r="X48" s="2">
        <v>0.21370711023369121</v>
      </c>
      <c r="Y48" s="2">
        <v>0.85482844093476484</v>
      </c>
      <c r="Z48" s="2">
        <v>0.85482844093476484</v>
      </c>
      <c r="AA48" s="2">
        <v>0.10685355511684561</v>
      </c>
      <c r="AB48" s="2">
        <v>0.10685355511684561</v>
      </c>
      <c r="AC48" s="2">
        <v>8.5482844093476465E-2</v>
      </c>
      <c r="AD48" s="2">
        <v>0.29918995432716766</v>
      </c>
      <c r="AE48" s="2">
        <v>2.5644853228042939</v>
      </c>
      <c r="AF48" s="2">
        <v>0.29918995432716766</v>
      </c>
      <c r="AG48" s="2">
        <v>0.42741422046738242</v>
      </c>
      <c r="AH48" s="2">
        <v>0.17096568818695293</v>
      </c>
      <c r="AI48" s="1">
        <v>9.8305270707497954</v>
      </c>
      <c r="AJ48">
        <f t="shared" si="10"/>
        <v>9.8305270707497936</v>
      </c>
      <c r="AK48">
        <f t="shared" si="11"/>
        <v>0</v>
      </c>
      <c r="AL48">
        <f t="shared" si="11"/>
        <v>0.25644853228042941</v>
      </c>
      <c r="AM48">
        <f t="shared" si="13"/>
        <v>0.17096568818695293</v>
      </c>
      <c r="AN48">
        <f t="shared" si="13"/>
        <v>0.34193137637390586</v>
      </c>
      <c r="AO48">
        <f t="shared" si="13"/>
        <v>0.1282242661402147</v>
      </c>
      <c r="AP48">
        <f t="shared" si="13"/>
        <v>8.5482844093476465E-2</v>
      </c>
      <c r="AQ48">
        <f t="shared" si="13"/>
        <v>0.42741422046738242</v>
      </c>
      <c r="AR48">
        <f t="shared" si="13"/>
        <v>0.42741422046738242</v>
      </c>
      <c r="AS48">
        <f t="shared" si="13"/>
        <v>8.5482844093476465E-2</v>
      </c>
      <c r="AT48">
        <f t="shared" si="13"/>
        <v>8.5482844093476465E-2</v>
      </c>
      <c r="AU48">
        <f t="shared" si="13"/>
        <v>0.1282242661402147</v>
      </c>
      <c r="AV48">
        <f t="shared" si="13"/>
        <v>0.14959497716358383</v>
      </c>
      <c r="AW48">
        <f t="shared" si="13"/>
        <v>0.14959497716358383</v>
      </c>
      <c r="AX48">
        <f t="shared" si="13"/>
        <v>0.34193137637390586</v>
      </c>
      <c r="AY48">
        <f t="shared" si="13"/>
        <v>4.2741422046738232E-2</v>
      </c>
      <c r="AZ48">
        <f t="shared" si="13"/>
        <v>8.5482844093476465E-2</v>
      </c>
      <c r="BA48">
        <f t="shared" si="13"/>
        <v>8.5482844093476465E-2</v>
      </c>
      <c r="BB48">
        <f t="shared" si="13"/>
        <v>0.17096568818695293</v>
      </c>
      <c r="BC48">
        <f t="shared" si="13"/>
        <v>0.17096568818695293</v>
      </c>
      <c r="BD48">
        <f t="shared" si="13"/>
        <v>0.17096568818695293</v>
      </c>
      <c r="BE48">
        <f t="shared" si="13"/>
        <v>0.17096568818695293</v>
      </c>
      <c r="BF48">
        <f t="shared" si="13"/>
        <v>0.17096568818695293</v>
      </c>
      <c r="BG48">
        <f t="shared" si="13"/>
        <v>0.21370711023369121</v>
      </c>
      <c r="BH48">
        <f t="shared" si="13"/>
        <v>0.85482844093476484</v>
      </c>
      <c r="BI48">
        <f t="shared" si="13"/>
        <v>0.85482844093476484</v>
      </c>
      <c r="BJ48">
        <f t="shared" si="13"/>
        <v>0.10685355511684561</v>
      </c>
      <c r="BK48">
        <f t="shared" si="13"/>
        <v>0.10685355511684561</v>
      </c>
      <c r="BL48">
        <f t="shared" si="13"/>
        <v>8.5482844093476465E-2</v>
      </c>
      <c r="BM48">
        <f t="shared" si="13"/>
        <v>0.29918995432716766</v>
      </c>
      <c r="BN48">
        <f t="shared" si="13"/>
        <v>2.5644853228042939</v>
      </c>
      <c r="BO48">
        <f t="shared" si="13"/>
        <v>0.29918995432716766</v>
      </c>
      <c r="BP48">
        <f t="shared" si="13"/>
        <v>0.42741422046738242</v>
      </c>
      <c r="BQ48">
        <f t="shared" si="13"/>
        <v>0.17096568818695293</v>
      </c>
    </row>
    <row r="49" spans="1:69" x14ac:dyDescent="0.2">
      <c r="A49" s="2">
        <v>19</v>
      </c>
      <c r="B49" s="2">
        <v>0</v>
      </c>
      <c r="C49" s="2">
        <v>0.2686516874999999</v>
      </c>
      <c r="D49" s="2">
        <v>0.17910112499999992</v>
      </c>
      <c r="E49" s="2">
        <v>0.35820224999999983</v>
      </c>
      <c r="F49" s="2">
        <v>0.13432584374999995</v>
      </c>
      <c r="G49" s="2">
        <v>8.9550562499999958E-2</v>
      </c>
      <c r="H49" s="2">
        <v>0.44775281249999987</v>
      </c>
      <c r="I49" s="2">
        <v>0.44775281249999987</v>
      </c>
      <c r="J49" s="2">
        <v>8.9550562499999958E-2</v>
      </c>
      <c r="K49" s="2">
        <v>8.9550562499999958E-2</v>
      </c>
      <c r="L49" s="2">
        <v>0.13432584374999995</v>
      </c>
      <c r="M49" s="2">
        <v>0.15671348437499996</v>
      </c>
      <c r="N49" s="2">
        <v>0.15671348437499996</v>
      </c>
      <c r="O49" s="2">
        <v>0.35820224999999983</v>
      </c>
      <c r="P49" s="2">
        <v>4.4775281249999979E-2</v>
      </c>
      <c r="Q49" s="2">
        <v>8.9550562499999958E-2</v>
      </c>
      <c r="R49" s="2">
        <v>8.9550562499999958E-2</v>
      </c>
      <c r="S49" s="2">
        <v>0.17910112499999992</v>
      </c>
      <c r="T49" s="2">
        <v>0.17910112499999992</v>
      </c>
      <c r="U49" s="2">
        <v>0.17910112499999992</v>
      </c>
      <c r="V49" s="2">
        <v>0.17910112499999992</v>
      </c>
      <c r="W49" s="2">
        <v>0.17910112499999992</v>
      </c>
      <c r="X49" s="2">
        <v>0.22387640624999994</v>
      </c>
      <c r="Y49" s="2">
        <v>0.89550562499999975</v>
      </c>
      <c r="Z49" s="2">
        <v>0.89550562499999975</v>
      </c>
      <c r="AA49" s="2">
        <v>0.11193820312499997</v>
      </c>
      <c r="AB49" s="2">
        <v>0.11193820312499997</v>
      </c>
      <c r="AC49" s="2">
        <v>8.9550562499999958E-2</v>
      </c>
      <c r="AD49" s="2">
        <v>0.31342696874999992</v>
      </c>
      <c r="AE49" s="2">
        <v>2.6865168749999988</v>
      </c>
      <c r="AF49" s="2">
        <v>0.31342696874999992</v>
      </c>
      <c r="AG49" s="2">
        <v>0.44775281249999987</v>
      </c>
      <c r="AH49" s="2">
        <v>0.17910112499999992</v>
      </c>
      <c r="AI49" s="1">
        <v>10.298314687499998</v>
      </c>
      <c r="AJ49">
        <f t="shared" si="10"/>
        <v>10.298314687499996</v>
      </c>
      <c r="AK49">
        <f t="shared" si="11"/>
        <v>0</v>
      </c>
      <c r="AL49">
        <f t="shared" si="11"/>
        <v>0.2686516874999999</v>
      </c>
      <c r="AM49">
        <f t="shared" si="13"/>
        <v>0.17910112499999992</v>
      </c>
      <c r="AN49">
        <f t="shared" si="13"/>
        <v>0.35820224999999983</v>
      </c>
      <c r="AO49">
        <f t="shared" si="13"/>
        <v>0.13432584374999995</v>
      </c>
      <c r="AP49">
        <f t="shared" si="13"/>
        <v>8.9550562499999958E-2</v>
      </c>
      <c r="AQ49">
        <f t="shared" si="13"/>
        <v>0.44775281249999987</v>
      </c>
      <c r="AR49">
        <f t="shared" si="13"/>
        <v>0.44775281249999987</v>
      </c>
      <c r="AS49">
        <f t="shared" si="13"/>
        <v>8.9550562499999958E-2</v>
      </c>
      <c r="AT49">
        <f t="shared" si="13"/>
        <v>8.9550562499999958E-2</v>
      </c>
      <c r="AU49">
        <f t="shared" si="13"/>
        <v>0.13432584374999995</v>
      </c>
      <c r="AV49">
        <f t="shared" si="13"/>
        <v>0.15671348437499996</v>
      </c>
      <c r="AW49">
        <f t="shared" si="13"/>
        <v>0.15671348437499996</v>
      </c>
      <c r="AX49">
        <f t="shared" si="13"/>
        <v>0.35820224999999983</v>
      </c>
      <c r="AY49">
        <f t="shared" si="13"/>
        <v>4.4775281249999979E-2</v>
      </c>
      <c r="AZ49">
        <f t="shared" si="13"/>
        <v>8.9550562499999958E-2</v>
      </c>
      <c r="BA49">
        <f t="shared" si="13"/>
        <v>8.9550562499999958E-2</v>
      </c>
      <c r="BB49">
        <f t="shared" si="13"/>
        <v>0.17910112499999992</v>
      </c>
      <c r="BC49">
        <f t="shared" si="13"/>
        <v>0.17910112499999992</v>
      </c>
      <c r="BD49">
        <f t="shared" si="13"/>
        <v>0.17910112499999992</v>
      </c>
      <c r="BE49">
        <f t="shared" si="13"/>
        <v>0.17910112499999992</v>
      </c>
      <c r="BF49">
        <f t="shared" si="13"/>
        <v>0.17910112499999992</v>
      </c>
      <c r="BG49">
        <f t="shared" si="13"/>
        <v>0.22387640624999994</v>
      </c>
      <c r="BH49">
        <f t="shared" si="13"/>
        <v>0.89550562499999975</v>
      </c>
      <c r="BI49">
        <f t="shared" si="13"/>
        <v>0.89550562499999975</v>
      </c>
      <c r="BJ49">
        <f t="shared" si="13"/>
        <v>0.11193820312499997</v>
      </c>
      <c r="BK49">
        <f t="shared" si="13"/>
        <v>0.11193820312499997</v>
      </c>
      <c r="BL49">
        <f t="shared" si="13"/>
        <v>8.9550562499999958E-2</v>
      </c>
      <c r="BM49">
        <f t="shared" si="13"/>
        <v>0.31342696874999992</v>
      </c>
      <c r="BN49">
        <f t="shared" si="13"/>
        <v>2.6865168749999988</v>
      </c>
      <c r="BO49">
        <f t="shared" si="13"/>
        <v>0.31342696874999992</v>
      </c>
      <c r="BP49">
        <f t="shared" si="13"/>
        <v>0.44775281249999987</v>
      </c>
      <c r="BQ49">
        <f t="shared" si="13"/>
        <v>0.17910112499999992</v>
      </c>
    </row>
    <row r="50" spans="1:69" x14ac:dyDescent="0.2">
      <c r="A50" s="2">
        <v>20</v>
      </c>
      <c r="B50" s="2">
        <v>0</v>
      </c>
      <c r="C50" s="2">
        <v>0.25871782701506213</v>
      </c>
      <c r="D50" s="2">
        <v>0.17247855134337475</v>
      </c>
      <c r="E50" s="2">
        <v>0.34495710268674951</v>
      </c>
      <c r="F50" s="2">
        <v>0.12935891350753106</v>
      </c>
      <c r="G50" s="2">
        <v>8.6239275671687377E-2</v>
      </c>
      <c r="H50" s="2">
        <v>0.43119637835843694</v>
      </c>
      <c r="I50" s="2">
        <v>0.43119637835843694</v>
      </c>
      <c r="J50" s="2">
        <v>8.6239275671687377E-2</v>
      </c>
      <c r="K50" s="2">
        <v>8.6239275671687377E-2</v>
      </c>
      <c r="L50" s="2">
        <v>0.12935891350753106</v>
      </c>
      <c r="M50" s="2">
        <v>0.15091873242545292</v>
      </c>
      <c r="N50" s="2">
        <v>0.15091873242545292</v>
      </c>
      <c r="O50" s="2">
        <v>0.34495710268674951</v>
      </c>
      <c r="P50" s="2">
        <v>4.3119637835843688E-2</v>
      </c>
      <c r="Q50" s="2">
        <v>8.6239275671687377E-2</v>
      </c>
      <c r="R50" s="2">
        <v>8.6239275671687377E-2</v>
      </c>
      <c r="S50" s="2">
        <v>0.17247855134337475</v>
      </c>
      <c r="T50" s="2">
        <v>0.17247855134337475</v>
      </c>
      <c r="U50" s="2">
        <v>0.17247855134337475</v>
      </c>
      <c r="V50" s="2">
        <v>0.17247855134337475</v>
      </c>
      <c r="W50" s="2">
        <v>0.17247855134337475</v>
      </c>
      <c r="X50" s="2">
        <v>0.21559818917921847</v>
      </c>
      <c r="Y50" s="2">
        <v>0.86239275671687388</v>
      </c>
      <c r="Z50" s="2">
        <v>0.86239275671687388</v>
      </c>
      <c r="AA50" s="2">
        <v>0.10779909458960923</v>
      </c>
      <c r="AB50" s="2">
        <v>0.10779909458960923</v>
      </c>
      <c r="AC50" s="2">
        <v>8.6239275671687377E-2</v>
      </c>
      <c r="AD50" s="2">
        <v>0.30183746485090585</v>
      </c>
      <c r="AE50" s="2">
        <v>2.5871782701506212</v>
      </c>
      <c r="AF50" s="2">
        <v>0.30183746485090585</v>
      </c>
      <c r="AG50" s="2">
        <v>0.43119637835843694</v>
      </c>
      <c r="AH50" s="2">
        <v>0.17247855134337475</v>
      </c>
      <c r="AI50" s="1">
        <v>9.9175167022440505</v>
      </c>
      <c r="AJ50">
        <f t="shared" si="10"/>
        <v>9.9175167022440469</v>
      </c>
      <c r="AK50">
        <f t="shared" si="11"/>
        <v>0</v>
      </c>
      <c r="AL50">
        <f t="shared" si="11"/>
        <v>0.25871782701506213</v>
      </c>
      <c r="AM50">
        <f t="shared" si="13"/>
        <v>0.17247855134337475</v>
      </c>
      <c r="AN50">
        <f t="shared" si="13"/>
        <v>0.34495710268674951</v>
      </c>
      <c r="AO50">
        <f t="shared" si="13"/>
        <v>0.12935891350753106</v>
      </c>
      <c r="AP50">
        <f t="shared" si="13"/>
        <v>8.6239275671687377E-2</v>
      </c>
      <c r="AQ50">
        <f t="shared" si="13"/>
        <v>0.43119637835843694</v>
      </c>
      <c r="AR50">
        <f t="shared" si="13"/>
        <v>0.43119637835843694</v>
      </c>
      <c r="AS50">
        <f t="shared" si="13"/>
        <v>8.6239275671687377E-2</v>
      </c>
      <c r="AT50">
        <f t="shared" si="13"/>
        <v>8.6239275671687377E-2</v>
      </c>
      <c r="AU50">
        <f t="shared" si="13"/>
        <v>0.12935891350753106</v>
      </c>
      <c r="AV50">
        <f t="shared" si="13"/>
        <v>0.15091873242545292</v>
      </c>
      <c r="AW50">
        <f t="shared" si="13"/>
        <v>0.15091873242545292</v>
      </c>
      <c r="AX50">
        <f t="shared" si="13"/>
        <v>0.34495710268674951</v>
      </c>
      <c r="AY50">
        <f t="shared" si="13"/>
        <v>4.3119637835843688E-2</v>
      </c>
      <c r="AZ50">
        <f t="shared" si="13"/>
        <v>8.6239275671687377E-2</v>
      </c>
      <c r="BA50">
        <f t="shared" si="13"/>
        <v>8.6239275671687377E-2</v>
      </c>
      <c r="BB50">
        <f t="shared" si="13"/>
        <v>0.17247855134337475</v>
      </c>
      <c r="BC50">
        <f t="shared" si="13"/>
        <v>0.17247855134337475</v>
      </c>
      <c r="BD50">
        <f t="shared" si="13"/>
        <v>0.17247855134337475</v>
      </c>
      <c r="BE50">
        <f t="shared" si="13"/>
        <v>0.17247855134337475</v>
      </c>
      <c r="BF50">
        <f t="shared" si="13"/>
        <v>0.17247855134337475</v>
      </c>
      <c r="BG50">
        <f t="shared" si="13"/>
        <v>0.21559818917921847</v>
      </c>
      <c r="BH50">
        <f t="shared" si="13"/>
        <v>0.86239275671687388</v>
      </c>
      <c r="BI50">
        <f t="shared" si="13"/>
        <v>0.86239275671687388</v>
      </c>
      <c r="BJ50">
        <f t="shared" si="13"/>
        <v>0.10779909458960923</v>
      </c>
      <c r="BK50">
        <f t="shared" si="13"/>
        <v>0.10779909458960923</v>
      </c>
      <c r="BL50">
        <f t="shared" si="13"/>
        <v>8.6239275671687377E-2</v>
      </c>
      <c r="BM50">
        <f t="shared" si="13"/>
        <v>0.30183746485090585</v>
      </c>
      <c r="BN50">
        <f t="shared" si="13"/>
        <v>2.5871782701506212</v>
      </c>
      <c r="BO50">
        <f t="shared" si="13"/>
        <v>0.30183746485090585</v>
      </c>
      <c r="BP50">
        <f t="shared" si="13"/>
        <v>0.43119637835843694</v>
      </c>
      <c r="BQ50">
        <f t="shared" si="13"/>
        <v>0.17247855134337475</v>
      </c>
    </row>
    <row r="51" spans="1:69" x14ac:dyDescent="0.2">
      <c r="A51" s="2">
        <v>21</v>
      </c>
      <c r="B51" s="2">
        <v>0</v>
      </c>
      <c r="C51" s="2">
        <v>0.24483776323656614</v>
      </c>
      <c r="D51" s="2">
        <v>0.16322517549104409</v>
      </c>
      <c r="E51" s="2">
        <v>0.32645035098208819</v>
      </c>
      <c r="F51" s="2">
        <v>0.12241888161828307</v>
      </c>
      <c r="G51" s="2">
        <v>8.1612587745522047E-2</v>
      </c>
      <c r="H51" s="2">
        <v>0.40806293872761029</v>
      </c>
      <c r="I51" s="2">
        <v>0.40806293872761029</v>
      </c>
      <c r="J51" s="2">
        <v>8.1612587745522047E-2</v>
      </c>
      <c r="K51" s="2">
        <v>8.1612587745522047E-2</v>
      </c>
      <c r="L51" s="2">
        <v>0.12241888161828307</v>
      </c>
      <c r="M51" s="2">
        <v>0.14282202855466358</v>
      </c>
      <c r="N51" s="2">
        <v>0.14282202855466358</v>
      </c>
      <c r="O51" s="2">
        <v>0.32645035098208819</v>
      </c>
      <c r="P51" s="2">
        <v>4.0806293872761024E-2</v>
      </c>
      <c r="Q51" s="2">
        <v>8.1612587745522047E-2</v>
      </c>
      <c r="R51" s="2">
        <v>8.1612587745522047E-2</v>
      </c>
      <c r="S51" s="2">
        <v>0.16322517549104409</v>
      </c>
      <c r="T51" s="2">
        <v>0.16322517549104409</v>
      </c>
      <c r="U51" s="2">
        <v>0.16322517549104409</v>
      </c>
      <c r="V51" s="2">
        <v>0.16322517549104409</v>
      </c>
      <c r="W51" s="2">
        <v>0.16322517549104409</v>
      </c>
      <c r="X51" s="2">
        <v>0.20403146936380515</v>
      </c>
      <c r="Y51" s="2">
        <v>0.81612587745522058</v>
      </c>
      <c r="Z51" s="2">
        <v>0.81612587745522058</v>
      </c>
      <c r="AA51" s="2">
        <v>0.10201573468190257</v>
      </c>
      <c r="AB51" s="2">
        <v>0.10201573468190257</v>
      </c>
      <c r="AC51" s="2">
        <v>8.1612587745522047E-2</v>
      </c>
      <c r="AD51" s="2">
        <v>0.28564405710932717</v>
      </c>
      <c r="AE51" s="2">
        <v>2.4483776323656614</v>
      </c>
      <c r="AF51" s="2">
        <v>0.28564405710932717</v>
      </c>
      <c r="AG51" s="2">
        <v>0.40806293872761029</v>
      </c>
      <c r="AH51" s="2">
        <v>0.16322517549104409</v>
      </c>
      <c r="AI51" s="1">
        <v>9.385447590735037</v>
      </c>
      <c r="AJ51">
        <f t="shared" si="10"/>
        <v>9.385447590735037</v>
      </c>
      <c r="AK51">
        <f t="shared" si="11"/>
        <v>0</v>
      </c>
      <c r="AL51">
        <f t="shared" si="11"/>
        <v>0.24483776323656614</v>
      </c>
      <c r="AM51">
        <f t="shared" si="13"/>
        <v>0.16322517549104409</v>
      </c>
      <c r="AN51">
        <f t="shared" si="13"/>
        <v>0.32645035098208819</v>
      </c>
      <c r="AO51">
        <f t="shared" si="13"/>
        <v>0.12241888161828307</v>
      </c>
      <c r="AP51">
        <f t="shared" si="13"/>
        <v>8.1612587745522047E-2</v>
      </c>
      <c r="AQ51">
        <f t="shared" si="13"/>
        <v>0.40806293872761029</v>
      </c>
      <c r="AR51">
        <f t="shared" si="13"/>
        <v>0.40806293872761029</v>
      </c>
      <c r="AS51">
        <f t="shared" si="13"/>
        <v>8.1612587745522047E-2</v>
      </c>
      <c r="AT51">
        <f t="shared" si="13"/>
        <v>8.1612587745522047E-2</v>
      </c>
      <c r="AU51">
        <f t="shared" si="13"/>
        <v>0.12241888161828307</v>
      </c>
      <c r="AV51">
        <f t="shared" si="13"/>
        <v>0.14282202855466358</v>
      </c>
      <c r="AW51">
        <f t="shared" si="13"/>
        <v>0.14282202855466358</v>
      </c>
      <c r="AX51">
        <f t="shared" si="13"/>
        <v>0.32645035098208819</v>
      </c>
      <c r="AY51">
        <f t="shared" si="13"/>
        <v>4.0806293872761024E-2</v>
      </c>
      <c r="AZ51">
        <f t="shared" si="13"/>
        <v>8.1612587745522047E-2</v>
      </c>
      <c r="BA51">
        <f t="shared" si="13"/>
        <v>8.1612587745522047E-2</v>
      </c>
      <c r="BB51">
        <f t="shared" si="13"/>
        <v>0.16322517549104409</v>
      </c>
      <c r="BC51">
        <f t="shared" si="13"/>
        <v>0.16322517549104409</v>
      </c>
      <c r="BD51">
        <f t="shared" si="13"/>
        <v>0.16322517549104409</v>
      </c>
      <c r="BE51">
        <f t="shared" si="13"/>
        <v>0.16322517549104409</v>
      </c>
      <c r="BF51">
        <f t="shared" si="13"/>
        <v>0.16322517549104409</v>
      </c>
      <c r="BG51">
        <f t="shared" si="13"/>
        <v>0.20403146936380515</v>
      </c>
      <c r="BH51">
        <f t="shared" si="13"/>
        <v>0.81612587745522058</v>
      </c>
      <c r="BI51">
        <f t="shared" si="13"/>
        <v>0.81612587745522058</v>
      </c>
      <c r="BJ51">
        <f t="shared" si="13"/>
        <v>0.10201573468190257</v>
      </c>
      <c r="BK51">
        <f t="shared" si="13"/>
        <v>0.10201573468190257</v>
      </c>
      <c r="BL51">
        <f t="shared" si="13"/>
        <v>8.1612587745522047E-2</v>
      </c>
      <c r="BM51">
        <f t="shared" si="13"/>
        <v>0.28564405710932717</v>
      </c>
      <c r="BN51">
        <f t="shared" si="13"/>
        <v>2.4483776323656614</v>
      </c>
      <c r="BO51">
        <f t="shared" si="13"/>
        <v>0.28564405710932717</v>
      </c>
      <c r="BP51">
        <f t="shared" si="13"/>
        <v>0.40806293872761029</v>
      </c>
      <c r="BQ51">
        <f t="shared" si="13"/>
        <v>0.16322517549104409</v>
      </c>
    </row>
    <row r="52" spans="1:69" x14ac:dyDescent="0.2">
      <c r="A52" s="2">
        <v>22</v>
      </c>
      <c r="B52" s="2">
        <v>0</v>
      </c>
      <c r="C52" s="2">
        <v>0.22466017872862812</v>
      </c>
      <c r="D52" s="2">
        <v>0.14977345248575208</v>
      </c>
      <c r="E52" s="2">
        <v>0.29954690497150416</v>
      </c>
      <c r="F52" s="2">
        <v>0.11233008936431406</v>
      </c>
      <c r="G52" s="2">
        <v>7.4886726242876039E-2</v>
      </c>
      <c r="H52" s="2">
        <v>0.37443363121438028</v>
      </c>
      <c r="I52" s="2">
        <v>0.37443363121438028</v>
      </c>
      <c r="J52" s="2">
        <v>7.4886726242876039E-2</v>
      </c>
      <c r="K52" s="2">
        <v>7.4886726242876039E-2</v>
      </c>
      <c r="L52" s="2">
        <v>0.11233008936431406</v>
      </c>
      <c r="M52" s="2">
        <v>0.13105177092503309</v>
      </c>
      <c r="N52" s="2">
        <v>0.13105177092503309</v>
      </c>
      <c r="O52" s="2">
        <v>0.29954690497150416</v>
      </c>
      <c r="P52" s="2">
        <v>3.744336312143802E-2</v>
      </c>
      <c r="Q52" s="2">
        <v>7.4886726242876039E-2</v>
      </c>
      <c r="R52" s="2">
        <v>7.4886726242876039E-2</v>
      </c>
      <c r="S52" s="2">
        <v>0.14977345248575208</v>
      </c>
      <c r="T52" s="2">
        <v>0.14977345248575208</v>
      </c>
      <c r="U52" s="2">
        <v>0.14977345248575208</v>
      </c>
      <c r="V52" s="2">
        <v>0.14977345248575208</v>
      </c>
      <c r="W52" s="2">
        <v>0.14977345248575208</v>
      </c>
      <c r="X52" s="2">
        <v>0.18721681560719014</v>
      </c>
      <c r="Y52" s="2">
        <v>0.74886726242876056</v>
      </c>
      <c r="Z52" s="2">
        <v>0.74886726242876056</v>
      </c>
      <c r="AA52" s="2">
        <v>9.360840780359507E-2</v>
      </c>
      <c r="AB52" s="2">
        <v>9.360840780359507E-2</v>
      </c>
      <c r="AC52" s="2">
        <v>7.4886726242876039E-2</v>
      </c>
      <c r="AD52" s="2">
        <v>0.26210354185006618</v>
      </c>
      <c r="AE52" s="2">
        <v>2.2466017872862811</v>
      </c>
      <c r="AF52" s="2">
        <v>0.26210354185006618</v>
      </c>
      <c r="AG52" s="2">
        <v>0.37443363121438028</v>
      </c>
      <c r="AH52" s="2">
        <v>0.14977345248575208</v>
      </c>
      <c r="AI52" s="1">
        <v>8.6119735179307462</v>
      </c>
      <c r="AJ52">
        <f t="shared" si="10"/>
        <v>8.6119735179307444</v>
      </c>
      <c r="AK52">
        <f t="shared" si="11"/>
        <v>0</v>
      </c>
      <c r="AL52">
        <f t="shared" si="11"/>
        <v>0.22466017872862812</v>
      </c>
      <c r="AM52">
        <f t="shared" si="13"/>
        <v>0.14977345248575208</v>
      </c>
      <c r="AN52">
        <f t="shared" si="13"/>
        <v>0.29954690497150416</v>
      </c>
      <c r="AO52">
        <f t="shared" si="13"/>
        <v>0.11233008936431406</v>
      </c>
      <c r="AP52">
        <f t="shared" si="13"/>
        <v>7.4886726242876039E-2</v>
      </c>
      <c r="AQ52">
        <f t="shared" si="13"/>
        <v>0.37443363121438028</v>
      </c>
      <c r="AR52">
        <f t="shared" si="13"/>
        <v>0.37443363121438028</v>
      </c>
      <c r="AS52">
        <f t="shared" si="13"/>
        <v>7.4886726242876039E-2</v>
      </c>
      <c r="AT52">
        <f t="shared" si="13"/>
        <v>7.4886726242876039E-2</v>
      </c>
      <c r="AU52">
        <f t="shared" si="13"/>
        <v>0.11233008936431406</v>
      </c>
      <c r="AV52">
        <f t="shared" si="13"/>
        <v>0.13105177092503309</v>
      </c>
      <c r="AW52">
        <f t="shared" si="13"/>
        <v>0.13105177092503309</v>
      </c>
      <c r="AX52">
        <f t="shared" si="13"/>
        <v>0.29954690497150416</v>
      </c>
      <c r="AY52">
        <f t="shared" si="13"/>
        <v>3.744336312143802E-2</v>
      </c>
      <c r="AZ52">
        <f t="shared" si="13"/>
        <v>7.4886726242876039E-2</v>
      </c>
      <c r="BA52">
        <f t="shared" si="13"/>
        <v>7.4886726242876039E-2</v>
      </c>
      <c r="BB52">
        <f t="shared" si="13"/>
        <v>0.14977345248575208</v>
      </c>
      <c r="BC52">
        <f t="shared" si="13"/>
        <v>0.14977345248575208</v>
      </c>
      <c r="BD52">
        <f t="shared" si="13"/>
        <v>0.14977345248575208</v>
      </c>
      <c r="BE52">
        <f t="shared" si="13"/>
        <v>0.14977345248575208</v>
      </c>
      <c r="BF52">
        <f t="shared" si="13"/>
        <v>0.14977345248575208</v>
      </c>
      <c r="BG52">
        <f t="shared" si="13"/>
        <v>0.18721681560719014</v>
      </c>
      <c r="BH52">
        <f t="shared" si="13"/>
        <v>0.74886726242876056</v>
      </c>
      <c r="BI52">
        <f t="shared" si="13"/>
        <v>0.74886726242876056</v>
      </c>
      <c r="BJ52">
        <f t="shared" si="13"/>
        <v>9.360840780359507E-2</v>
      </c>
      <c r="BK52">
        <f t="shared" si="13"/>
        <v>9.360840780359507E-2</v>
      </c>
      <c r="BL52">
        <f t="shared" si="13"/>
        <v>7.4886726242876039E-2</v>
      </c>
      <c r="BM52">
        <f t="shared" si="13"/>
        <v>0.26210354185006618</v>
      </c>
      <c r="BN52">
        <f t="shared" si="13"/>
        <v>2.2466017872862811</v>
      </c>
      <c r="BO52">
        <f t="shared" si="13"/>
        <v>0.26210354185006618</v>
      </c>
      <c r="BP52">
        <f t="shared" si="13"/>
        <v>0.37443363121438028</v>
      </c>
      <c r="BQ52">
        <f t="shared" si="13"/>
        <v>0.14977345248575208</v>
      </c>
    </row>
    <row r="53" spans="1:69" x14ac:dyDescent="0.2">
      <c r="A53" s="2">
        <v>23</v>
      </c>
      <c r="B53" s="2">
        <v>0</v>
      </c>
      <c r="C53" s="2">
        <v>0.22186229325259502</v>
      </c>
      <c r="D53" s="2">
        <v>0.14790819550173001</v>
      </c>
      <c r="E53" s="2">
        <v>0.29581639100346002</v>
      </c>
      <c r="F53" s="2">
        <v>0.11093114662629751</v>
      </c>
      <c r="G53" s="2">
        <v>7.3954097750865005E-2</v>
      </c>
      <c r="H53" s="2">
        <v>0.36977048875432511</v>
      </c>
      <c r="I53" s="2">
        <v>0.36977048875432511</v>
      </c>
      <c r="J53" s="2">
        <v>7.3954097750865005E-2</v>
      </c>
      <c r="K53" s="2">
        <v>7.3954097750865005E-2</v>
      </c>
      <c r="L53" s="2">
        <v>0.11093114662629751</v>
      </c>
      <c r="M53" s="2">
        <v>0.12941967106401378</v>
      </c>
      <c r="N53" s="2">
        <v>0.12941967106401378</v>
      </c>
      <c r="O53" s="2">
        <v>0.29581639100346002</v>
      </c>
      <c r="P53" s="2">
        <v>3.6977048875432503E-2</v>
      </c>
      <c r="Q53" s="2">
        <v>7.3954097750865005E-2</v>
      </c>
      <c r="R53" s="2">
        <v>7.3954097750865005E-2</v>
      </c>
      <c r="S53" s="2">
        <v>0.14790819550173001</v>
      </c>
      <c r="T53" s="2">
        <v>0.14790819550173001</v>
      </c>
      <c r="U53" s="2">
        <v>0.14790819550173001</v>
      </c>
      <c r="V53" s="2">
        <v>0.14790819550173001</v>
      </c>
      <c r="W53" s="2">
        <v>0.14790819550173001</v>
      </c>
      <c r="X53" s="2">
        <v>0.18488524437716256</v>
      </c>
      <c r="Y53" s="2">
        <v>0.73954097750865022</v>
      </c>
      <c r="Z53" s="2">
        <v>0.73954097750865022</v>
      </c>
      <c r="AA53" s="2">
        <v>9.2442622188581278E-2</v>
      </c>
      <c r="AB53" s="2">
        <v>9.2442622188581278E-2</v>
      </c>
      <c r="AC53" s="2">
        <v>7.3954097750865005E-2</v>
      </c>
      <c r="AD53" s="2">
        <v>0.25883934212802756</v>
      </c>
      <c r="AE53" s="2">
        <v>2.2186229325259501</v>
      </c>
      <c r="AF53" s="2">
        <v>0.25883934212802756</v>
      </c>
      <c r="AG53" s="2">
        <v>0.36977048875432511</v>
      </c>
      <c r="AH53" s="2">
        <v>0.14790819550173001</v>
      </c>
      <c r="AI53" s="1">
        <v>8.5047212413494773</v>
      </c>
      <c r="AJ53">
        <f t="shared" si="10"/>
        <v>8.5047212413494755</v>
      </c>
      <c r="AK53">
        <f t="shared" si="11"/>
        <v>0</v>
      </c>
      <c r="AL53">
        <f t="shared" si="11"/>
        <v>0.22186229325259502</v>
      </c>
      <c r="AM53">
        <f t="shared" si="13"/>
        <v>0.14790819550173001</v>
      </c>
      <c r="AN53">
        <f t="shared" si="13"/>
        <v>0.29581639100346002</v>
      </c>
      <c r="AO53">
        <f t="shared" si="13"/>
        <v>0.11093114662629751</v>
      </c>
      <c r="AP53">
        <f t="shared" si="13"/>
        <v>7.3954097750865005E-2</v>
      </c>
      <c r="AQ53">
        <f t="shared" si="13"/>
        <v>0.36977048875432511</v>
      </c>
      <c r="AR53">
        <f t="shared" si="13"/>
        <v>0.36977048875432511</v>
      </c>
      <c r="AS53">
        <f t="shared" si="13"/>
        <v>7.3954097750865005E-2</v>
      </c>
      <c r="AT53">
        <f t="shared" si="13"/>
        <v>7.3954097750865005E-2</v>
      </c>
      <c r="AU53">
        <f t="shared" si="13"/>
        <v>0.11093114662629751</v>
      </c>
      <c r="AV53">
        <f t="shared" si="13"/>
        <v>0.12941967106401378</v>
      </c>
      <c r="AW53">
        <f t="shared" si="13"/>
        <v>0.12941967106401378</v>
      </c>
      <c r="AX53">
        <f t="shared" si="13"/>
        <v>0.29581639100346002</v>
      </c>
      <c r="AY53">
        <f t="shared" si="13"/>
        <v>3.6977048875432503E-2</v>
      </c>
      <c r="AZ53">
        <f t="shared" si="13"/>
        <v>7.3954097750865005E-2</v>
      </c>
      <c r="BA53">
        <f t="shared" si="13"/>
        <v>7.3954097750865005E-2</v>
      </c>
      <c r="BB53">
        <f t="shared" si="13"/>
        <v>0.14790819550173001</v>
      </c>
      <c r="BC53">
        <f t="shared" si="13"/>
        <v>0.14790819550173001</v>
      </c>
      <c r="BD53">
        <f t="shared" si="13"/>
        <v>0.14790819550173001</v>
      </c>
      <c r="BE53">
        <f t="shared" si="13"/>
        <v>0.14790819550173001</v>
      </c>
      <c r="BF53">
        <f t="shared" si="13"/>
        <v>0.14790819550173001</v>
      </c>
      <c r="BG53">
        <f t="shared" si="13"/>
        <v>0.18488524437716256</v>
      </c>
      <c r="BH53">
        <f t="shared" si="13"/>
        <v>0.73954097750865022</v>
      </c>
      <c r="BI53">
        <f t="shared" si="13"/>
        <v>0.73954097750865022</v>
      </c>
      <c r="BJ53">
        <f t="shared" si="13"/>
        <v>9.2442622188581278E-2</v>
      </c>
      <c r="BK53">
        <f t="shared" si="13"/>
        <v>9.2442622188581278E-2</v>
      </c>
      <c r="BL53">
        <f t="shared" si="13"/>
        <v>7.3954097750865005E-2</v>
      </c>
      <c r="BM53">
        <f t="shared" si="13"/>
        <v>0.25883934212802756</v>
      </c>
      <c r="BN53">
        <f t="shared" si="13"/>
        <v>2.2186229325259501</v>
      </c>
      <c r="BO53">
        <f t="shared" si="13"/>
        <v>0.25883934212802756</v>
      </c>
      <c r="BP53">
        <f t="shared" si="13"/>
        <v>0.36977048875432511</v>
      </c>
      <c r="BQ53">
        <f t="shared" si="13"/>
        <v>0.14790819550173001</v>
      </c>
    </row>
    <row r="54" spans="1:69" x14ac:dyDescent="0.2">
      <c r="A54" s="2">
        <v>24</v>
      </c>
      <c r="B54" s="2">
        <v>0</v>
      </c>
      <c r="C54" s="2">
        <v>0.22692947346326067</v>
      </c>
      <c r="D54" s="2">
        <v>0.15128631564217379</v>
      </c>
      <c r="E54" s="2">
        <v>0.30257263128434758</v>
      </c>
      <c r="F54" s="2">
        <v>0.11346473673163034</v>
      </c>
      <c r="G54" s="2">
        <v>7.5643157821086895E-2</v>
      </c>
      <c r="H54" s="2">
        <v>0.37821578910543452</v>
      </c>
      <c r="I54" s="2">
        <v>0.37821578910543452</v>
      </c>
      <c r="J54" s="2">
        <v>7.5643157821086895E-2</v>
      </c>
      <c r="K54" s="2">
        <v>7.5643157821086895E-2</v>
      </c>
      <c r="L54" s="2">
        <v>0.11346473673163034</v>
      </c>
      <c r="M54" s="2">
        <v>0.13237552618690207</v>
      </c>
      <c r="N54" s="2">
        <v>0.13237552618690207</v>
      </c>
      <c r="O54" s="2">
        <v>0.30257263128434758</v>
      </c>
      <c r="P54" s="2">
        <v>3.7821578910543448E-2</v>
      </c>
      <c r="Q54" s="2">
        <v>7.5643157821086895E-2</v>
      </c>
      <c r="R54" s="2">
        <v>7.5643157821086895E-2</v>
      </c>
      <c r="S54" s="2">
        <v>0.15128631564217379</v>
      </c>
      <c r="T54" s="2">
        <v>0.15128631564217379</v>
      </c>
      <c r="U54" s="2">
        <v>0.15128631564217379</v>
      </c>
      <c r="V54" s="2">
        <v>0.15128631564217379</v>
      </c>
      <c r="W54" s="2">
        <v>0.15128631564217379</v>
      </c>
      <c r="X54" s="2">
        <v>0.18910789455271726</v>
      </c>
      <c r="Y54" s="2">
        <v>0.75643157821086904</v>
      </c>
      <c r="Z54" s="2">
        <v>0.75643157821086904</v>
      </c>
      <c r="AA54" s="2">
        <v>9.455394727635863E-2</v>
      </c>
      <c r="AB54" s="2">
        <v>9.455394727635863E-2</v>
      </c>
      <c r="AC54" s="2">
        <v>7.5643157821086895E-2</v>
      </c>
      <c r="AD54" s="2">
        <v>0.26475105237380414</v>
      </c>
      <c r="AE54" s="2">
        <v>2.2692947346326067</v>
      </c>
      <c r="AF54" s="2">
        <v>0.26475105237380414</v>
      </c>
      <c r="AG54" s="2">
        <v>0.37821578910543452</v>
      </c>
      <c r="AH54" s="2">
        <v>0.15128631564217379</v>
      </c>
      <c r="AI54" s="1">
        <v>8.6989631494249942</v>
      </c>
      <c r="AJ54">
        <f t="shared" si="10"/>
        <v>8.6989631494249942</v>
      </c>
      <c r="AK54">
        <f t="shared" si="11"/>
        <v>0</v>
      </c>
      <c r="AL54">
        <f t="shared" si="11"/>
        <v>0.22692947346326067</v>
      </c>
      <c r="AM54">
        <f t="shared" si="13"/>
        <v>0.15128631564217379</v>
      </c>
      <c r="AN54">
        <f t="shared" si="13"/>
        <v>0.30257263128434758</v>
      </c>
      <c r="AO54">
        <f t="shared" si="13"/>
        <v>0.11346473673163034</v>
      </c>
      <c r="AP54">
        <f t="shared" si="13"/>
        <v>7.5643157821086895E-2</v>
      </c>
      <c r="AQ54">
        <f t="shared" si="13"/>
        <v>0.37821578910543452</v>
      </c>
      <c r="AR54">
        <f t="shared" si="13"/>
        <v>0.37821578910543452</v>
      </c>
      <c r="AS54">
        <f t="shared" si="13"/>
        <v>7.5643157821086895E-2</v>
      </c>
      <c r="AT54">
        <f t="shared" si="13"/>
        <v>7.5643157821086895E-2</v>
      </c>
      <c r="AU54">
        <f t="shared" si="13"/>
        <v>0.11346473673163034</v>
      </c>
      <c r="AV54">
        <f t="shared" si="13"/>
        <v>0.13237552618690207</v>
      </c>
      <c r="AW54">
        <f t="shared" si="13"/>
        <v>0.13237552618690207</v>
      </c>
      <c r="AX54">
        <f t="shared" si="13"/>
        <v>0.30257263128434758</v>
      </c>
      <c r="AY54">
        <f t="shared" si="13"/>
        <v>3.7821578910543448E-2</v>
      </c>
      <c r="AZ54">
        <f t="shared" si="13"/>
        <v>7.5643157821086895E-2</v>
      </c>
      <c r="BA54">
        <f t="shared" si="13"/>
        <v>7.5643157821086895E-2</v>
      </c>
      <c r="BB54">
        <f t="shared" si="13"/>
        <v>0.15128631564217379</v>
      </c>
      <c r="BC54">
        <f t="shared" si="13"/>
        <v>0.15128631564217379</v>
      </c>
      <c r="BD54">
        <f t="shared" si="13"/>
        <v>0.15128631564217379</v>
      </c>
      <c r="BE54">
        <f t="shared" si="13"/>
        <v>0.15128631564217379</v>
      </c>
      <c r="BF54">
        <f t="shared" si="13"/>
        <v>0.15128631564217379</v>
      </c>
      <c r="BG54">
        <f t="shared" si="13"/>
        <v>0.18910789455271726</v>
      </c>
      <c r="BH54">
        <f t="shared" si="13"/>
        <v>0.75643157821086904</v>
      </c>
      <c r="BI54">
        <f t="shared" si="13"/>
        <v>0.75643157821086904</v>
      </c>
      <c r="BJ54">
        <f t="shared" si="13"/>
        <v>9.455394727635863E-2</v>
      </c>
      <c r="BK54">
        <f t="shared" si="13"/>
        <v>9.455394727635863E-2</v>
      </c>
      <c r="BL54">
        <f t="shared" si="13"/>
        <v>7.5643157821086895E-2</v>
      </c>
      <c r="BM54">
        <f t="shared" si="13"/>
        <v>0.26475105237380414</v>
      </c>
      <c r="BN54">
        <f t="shared" si="13"/>
        <v>2.2692947346326067</v>
      </c>
      <c r="BO54">
        <f t="shared" si="13"/>
        <v>0.26475105237380414</v>
      </c>
      <c r="BP54">
        <f t="shared" si="13"/>
        <v>0.37821578910543452</v>
      </c>
      <c r="BQ54">
        <f t="shared" si="13"/>
        <v>0.15128631564217379</v>
      </c>
    </row>
    <row r="57" spans="1:69" x14ac:dyDescent="0.2">
      <c r="AI57">
        <f>AI31*0.7</f>
        <v>5.4375506802901734</v>
      </c>
    </row>
    <row r="58" spans="1:69" ht="20.25" x14ac:dyDescent="0.2">
      <c r="A58" s="46" t="s">
        <v>183</v>
      </c>
      <c r="B58" s="46"/>
      <c r="C58" s="4"/>
      <c r="D58" s="47" t="s">
        <v>182</v>
      </c>
      <c r="E58" s="47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AI58">
        <f t="shared" ref="AI58:AI80" si="14">AI32*0.7</f>
        <v>5.5825683350422324</v>
      </c>
    </row>
    <row r="59" spans="1:69" x14ac:dyDescent="0.2">
      <c r="A59" s="2" t="s">
        <v>0</v>
      </c>
      <c r="B59" s="2" t="s">
        <v>44</v>
      </c>
      <c r="C59" s="1"/>
      <c r="D59" s="2" t="s">
        <v>0</v>
      </c>
      <c r="E59" s="2" t="s">
        <v>44</v>
      </c>
      <c r="F59" s="1"/>
      <c r="G59" s="1"/>
      <c r="K59" s="1"/>
      <c r="L59" s="1"/>
      <c r="M59" s="1"/>
      <c r="N59" s="1"/>
      <c r="O59" s="1"/>
      <c r="P59" s="1"/>
      <c r="Q59" s="1"/>
      <c r="R59" s="1"/>
      <c r="S59" s="1"/>
      <c r="T59" s="1"/>
      <c r="AI59">
        <f t="shared" si="14"/>
        <v>5.5693626801406984</v>
      </c>
    </row>
    <row r="60" spans="1:69" x14ac:dyDescent="0.2">
      <c r="A60" s="2">
        <v>1</v>
      </c>
      <c r="B60" s="2">
        <v>8.0997734999999995</v>
      </c>
      <c r="C60" s="1"/>
      <c r="D60" s="2">
        <v>1</v>
      </c>
      <c r="E60" s="2">
        <v>45.18</v>
      </c>
      <c r="F60" s="1"/>
      <c r="G60" s="1"/>
      <c r="K60" s="1"/>
      <c r="L60" s="1"/>
      <c r="M60" s="1"/>
      <c r="N60" s="1"/>
      <c r="O60" s="1"/>
      <c r="P60" s="1"/>
      <c r="Q60" s="1"/>
      <c r="R60" s="1"/>
      <c r="S60" s="1"/>
      <c r="T60" s="1"/>
      <c r="AI60">
        <f t="shared" si="14"/>
        <v>5.6094687431749923</v>
      </c>
    </row>
    <row r="61" spans="1:69" x14ac:dyDescent="0.2">
      <c r="A61" s="2">
        <v>2</v>
      </c>
      <c r="B61" s="2">
        <v>7.8188564999999972</v>
      </c>
      <c r="C61" s="1"/>
      <c r="D61" s="2">
        <v>2</v>
      </c>
      <c r="E61" s="2">
        <v>45.36</v>
      </c>
      <c r="F61" s="1"/>
      <c r="G61" s="1"/>
      <c r="K61" s="1"/>
      <c r="L61" s="1"/>
      <c r="M61" s="1"/>
      <c r="N61" s="1"/>
      <c r="O61" s="1"/>
      <c r="P61" s="1"/>
      <c r="Q61" s="1"/>
      <c r="R61" s="1"/>
      <c r="S61" s="1"/>
      <c r="T61" s="1"/>
      <c r="AI61">
        <f t="shared" si="14"/>
        <v>5.6551994370006877</v>
      </c>
    </row>
    <row r="62" spans="1:69" x14ac:dyDescent="0.2">
      <c r="A62" s="2">
        <v>3</v>
      </c>
      <c r="B62" s="2">
        <v>7.6783979999999978</v>
      </c>
      <c r="C62" s="1"/>
      <c r="D62" s="2">
        <v>3</v>
      </c>
      <c r="E62" s="2">
        <v>50.400000000000006</v>
      </c>
      <c r="F62" s="1"/>
      <c r="G62" s="1"/>
      <c r="K62" s="1"/>
      <c r="L62" s="1"/>
      <c r="M62" s="1"/>
      <c r="N62" s="1"/>
      <c r="O62" s="1"/>
      <c r="P62" s="1"/>
      <c r="Q62" s="1"/>
      <c r="R62" s="1"/>
      <c r="S62" s="1"/>
      <c r="T62" s="1"/>
      <c r="AI62">
        <f t="shared" si="14"/>
        <v>5.7610892253778223</v>
      </c>
    </row>
    <row r="63" spans="1:69" x14ac:dyDescent="0.2">
      <c r="A63" s="2">
        <v>4</v>
      </c>
      <c r="B63" s="2">
        <v>8.8096291499999975</v>
      </c>
      <c r="C63" s="1"/>
      <c r="D63" s="2">
        <v>4</v>
      </c>
      <c r="E63" s="2">
        <v>72</v>
      </c>
      <c r="F63" s="1"/>
      <c r="G63" s="1"/>
      <c r="K63" s="1"/>
      <c r="L63" s="1"/>
      <c r="M63" s="1"/>
      <c r="N63" s="1"/>
      <c r="O63" s="1"/>
      <c r="P63" s="1"/>
      <c r="Q63" s="1"/>
      <c r="R63" s="1"/>
      <c r="S63" s="1"/>
      <c r="T63" s="1"/>
      <c r="AI63">
        <f t="shared" si="14"/>
        <v>6.0821822788170374</v>
      </c>
    </row>
    <row r="64" spans="1:69" x14ac:dyDescent="0.2">
      <c r="A64" s="2">
        <v>5</v>
      </c>
      <c r="B64" s="2">
        <v>9.4330487999999981</v>
      </c>
      <c r="C64" s="1"/>
      <c r="D64" s="2">
        <v>5</v>
      </c>
      <c r="E64" s="2">
        <v>106.19999999999999</v>
      </c>
      <c r="F64" s="1"/>
      <c r="G64" s="1"/>
      <c r="K64" s="1"/>
      <c r="L64" s="1"/>
      <c r="M64" s="1"/>
      <c r="N64" s="1"/>
      <c r="O64" s="1"/>
      <c r="P64" s="1"/>
      <c r="Q64" s="1"/>
      <c r="R64" s="1"/>
      <c r="S64" s="1"/>
      <c r="T64" s="1"/>
      <c r="AI64">
        <f t="shared" si="14"/>
        <v>6.2682841932627706</v>
      </c>
    </row>
    <row r="65" spans="1:35" x14ac:dyDescent="0.2">
      <c r="A65" s="2">
        <v>6</v>
      </c>
      <c r="B65" s="2">
        <v>9.4395314999999975</v>
      </c>
      <c r="C65" s="1"/>
      <c r="D65" s="2">
        <v>6</v>
      </c>
      <c r="E65" s="2">
        <v>108</v>
      </c>
      <c r="F65" s="1"/>
      <c r="G65" s="1"/>
      <c r="K65" s="1"/>
      <c r="L65" s="1"/>
      <c r="M65" s="1"/>
      <c r="N65" s="1"/>
      <c r="O65" s="1"/>
      <c r="P65" s="1"/>
      <c r="Q65" s="1"/>
      <c r="R65" s="1"/>
      <c r="S65" s="1"/>
      <c r="T65" s="1"/>
      <c r="AI65">
        <f t="shared" si="14"/>
        <v>6.7214337957173598</v>
      </c>
    </row>
    <row r="66" spans="1:35" x14ac:dyDescent="0.2">
      <c r="A66" s="2">
        <v>7</v>
      </c>
      <c r="B66" s="2">
        <v>8.8550080499999986</v>
      </c>
      <c r="C66" s="1"/>
      <c r="D66" s="2">
        <v>7</v>
      </c>
      <c r="E66" s="2">
        <v>124.19999999999999</v>
      </c>
      <c r="F66" s="1"/>
      <c r="G66" s="1"/>
      <c r="K66" s="1"/>
      <c r="L66" s="1"/>
      <c r="M66" s="1"/>
      <c r="N66" s="1"/>
      <c r="O66" s="1"/>
      <c r="P66" s="1"/>
      <c r="Q66" s="1"/>
      <c r="R66" s="1"/>
      <c r="S66" s="1"/>
      <c r="T66" s="1"/>
      <c r="AI66">
        <f t="shared" si="14"/>
        <v>6.9197631684052476</v>
      </c>
    </row>
    <row r="67" spans="1:35" x14ac:dyDescent="0.2">
      <c r="A67" s="2">
        <v>8</v>
      </c>
      <c r="B67" s="2">
        <v>7.9463495999999978</v>
      </c>
      <c r="C67" s="1"/>
      <c r="D67" s="2">
        <v>8</v>
      </c>
      <c r="E67" s="2">
        <v>118.80000000000001</v>
      </c>
      <c r="F67" s="1"/>
      <c r="G67" s="1"/>
      <c r="K67" s="1"/>
      <c r="L67" s="1"/>
      <c r="M67" s="1"/>
      <c r="N67" s="1"/>
      <c r="O67" s="1"/>
      <c r="P67" s="1"/>
      <c r="Q67" s="1"/>
      <c r="R67" s="1"/>
      <c r="S67" s="1"/>
      <c r="T67" s="1"/>
      <c r="AI67">
        <f t="shared" si="14"/>
        <v>7.0302993909144149</v>
      </c>
    </row>
    <row r="68" spans="1:35" x14ac:dyDescent="0.2">
      <c r="A68" s="2">
        <v>9</v>
      </c>
      <c r="B68" s="2">
        <v>6.911278499999999</v>
      </c>
      <c r="C68" s="1"/>
      <c r="D68" s="2">
        <v>9</v>
      </c>
      <c r="E68" s="2">
        <v>99</v>
      </c>
      <c r="F68" s="1"/>
      <c r="G68" s="1"/>
      <c r="K68" s="1"/>
      <c r="L68" s="1"/>
      <c r="M68" s="1"/>
      <c r="N68" s="1"/>
      <c r="O68" s="1"/>
      <c r="P68" s="1"/>
      <c r="Q68" s="1"/>
      <c r="R68" s="1"/>
      <c r="S68" s="1"/>
      <c r="T68" s="1"/>
      <c r="AI68">
        <f t="shared" si="14"/>
        <v>7.1281190568517205</v>
      </c>
    </row>
    <row r="69" spans="1:35" x14ac:dyDescent="0.2">
      <c r="A69" s="2">
        <v>10</v>
      </c>
      <c r="B69" s="2">
        <v>6.7654177499999975</v>
      </c>
      <c r="C69" s="1"/>
      <c r="D69" s="2">
        <v>10</v>
      </c>
      <c r="E69" s="2">
        <v>86.4</v>
      </c>
      <c r="F69" s="1"/>
      <c r="G69" s="1"/>
      <c r="K69" s="1"/>
      <c r="L69" s="1"/>
      <c r="M69" s="1"/>
      <c r="N69" s="1"/>
      <c r="O69" s="1"/>
      <c r="P69" s="1"/>
      <c r="Q69" s="1"/>
      <c r="R69" s="1"/>
      <c r="S69" s="1"/>
      <c r="T69" s="1"/>
      <c r="AI69">
        <f t="shared" si="14"/>
        <v>6.5769052392949821</v>
      </c>
    </row>
    <row r="70" spans="1:35" x14ac:dyDescent="0.2">
      <c r="A70" s="2">
        <v>11</v>
      </c>
      <c r="B70" s="2">
        <v>5.9648042999999991</v>
      </c>
      <c r="C70" s="1"/>
      <c r="D70" s="2">
        <v>11</v>
      </c>
      <c r="E70" s="2">
        <v>99.899999999999991</v>
      </c>
      <c r="F70" s="1"/>
      <c r="G70" s="1"/>
      <c r="K70" s="1"/>
      <c r="L70" s="1"/>
      <c r="M70" s="1"/>
      <c r="N70" s="1"/>
      <c r="O70" s="1"/>
      <c r="P70" s="1"/>
      <c r="Q70" s="1"/>
      <c r="R70" s="1"/>
      <c r="S70" s="1"/>
      <c r="T70" s="1"/>
      <c r="AI70">
        <f t="shared" si="14"/>
        <v>6.5020731948529411</v>
      </c>
    </row>
    <row r="71" spans="1:35" x14ac:dyDescent="0.2">
      <c r="A71" s="2">
        <v>12</v>
      </c>
      <c r="B71" s="2">
        <v>5.2981666499999998</v>
      </c>
      <c r="C71" s="1"/>
      <c r="D71" s="2">
        <v>12</v>
      </c>
      <c r="E71" s="2">
        <v>118.80000000000001</v>
      </c>
      <c r="F71" s="1"/>
      <c r="G71" s="1"/>
      <c r="K71" s="1"/>
      <c r="L71" s="1"/>
      <c r="M71" s="1"/>
      <c r="N71" s="1"/>
      <c r="O71" s="1"/>
      <c r="P71" s="1"/>
      <c r="Q71" s="1"/>
      <c r="R71" s="1"/>
      <c r="S71" s="1"/>
      <c r="T71" s="1"/>
      <c r="AI71">
        <f t="shared" si="14"/>
        <v>6.5903554433613651</v>
      </c>
    </row>
    <row r="72" spans="1:35" x14ac:dyDescent="0.2">
      <c r="A72" s="2">
        <v>13</v>
      </c>
      <c r="B72" s="2">
        <v>6.3850993499999991</v>
      </c>
      <c r="C72" s="1"/>
      <c r="D72" s="2">
        <v>13</v>
      </c>
      <c r="E72" s="2">
        <v>113.39999999999999</v>
      </c>
      <c r="F72" s="1"/>
      <c r="G72" s="1"/>
      <c r="K72" s="1"/>
      <c r="L72" s="1"/>
      <c r="M72" s="1"/>
      <c r="N72" s="1"/>
      <c r="O72" s="1"/>
      <c r="P72" s="1"/>
      <c r="Q72" s="1"/>
      <c r="R72" s="1"/>
      <c r="S72" s="1"/>
      <c r="T72" s="1"/>
      <c r="AI72">
        <f t="shared" si="14"/>
        <v>6.6573619145284244</v>
      </c>
    </row>
    <row r="73" spans="1:35" x14ac:dyDescent="0.2">
      <c r="A73" s="2">
        <v>14</v>
      </c>
      <c r="B73" s="2">
        <v>7.0398520499999977</v>
      </c>
      <c r="C73" s="1"/>
      <c r="D73" s="2">
        <v>14</v>
      </c>
      <c r="E73" s="2">
        <v>100.80000000000001</v>
      </c>
      <c r="F73" s="1"/>
      <c r="G73" s="1"/>
      <c r="I73" s="1"/>
      <c r="K73" s="1"/>
      <c r="L73" s="1"/>
      <c r="M73" s="1"/>
      <c r="N73" s="1"/>
      <c r="O73" s="1"/>
      <c r="P73" s="1"/>
      <c r="Q73" s="1"/>
      <c r="R73" s="1"/>
      <c r="S73" s="1"/>
      <c r="T73" s="1"/>
      <c r="AI73">
        <f t="shared" si="14"/>
        <v>6.757382522949313</v>
      </c>
    </row>
    <row r="74" spans="1:35" x14ac:dyDescent="0.2">
      <c r="A74" s="2">
        <v>15</v>
      </c>
      <c r="B74" s="2">
        <v>7.656788999999999</v>
      </c>
      <c r="C74" s="1"/>
      <c r="D74" s="2">
        <v>15</v>
      </c>
      <c r="E74" s="2">
        <v>95.4</v>
      </c>
      <c r="F74" s="1"/>
      <c r="G74" s="1"/>
      <c r="I74" s="1"/>
      <c r="K74" s="1"/>
      <c r="L74" s="1"/>
      <c r="M74" s="1"/>
      <c r="N74" s="1"/>
      <c r="O74" s="1"/>
      <c r="P74" s="1"/>
      <c r="Q74" s="1"/>
      <c r="R74" s="1"/>
      <c r="S74" s="1"/>
      <c r="T74" s="1"/>
      <c r="AI74">
        <f t="shared" si="14"/>
        <v>6.8813689495248562</v>
      </c>
    </row>
    <row r="75" spans="1:35" x14ac:dyDescent="0.2">
      <c r="A75" s="2">
        <v>16</v>
      </c>
      <c r="B75" s="2">
        <v>8.4066212999999976</v>
      </c>
      <c r="C75" s="1"/>
      <c r="D75" s="2">
        <v>16</v>
      </c>
      <c r="E75" s="2">
        <v>100.80000000000001</v>
      </c>
      <c r="F75" s="1"/>
      <c r="G75" s="1"/>
      <c r="I75" s="1"/>
      <c r="K75" s="1"/>
      <c r="L75" s="1"/>
      <c r="M75" s="1"/>
      <c r="N75" s="1"/>
      <c r="O75" s="1"/>
      <c r="P75" s="1"/>
      <c r="Q75" s="1"/>
      <c r="R75" s="1"/>
      <c r="S75" s="1"/>
      <c r="T75" s="1"/>
      <c r="AI75">
        <f t="shared" si="14"/>
        <v>7.2088202812499977</v>
      </c>
    </row>
    <row r="76" spans="1:35" x14ac:dyDescent="0.2">
      <c r="A76" s="2">
        <v>17</v>
      </c>
      <c r="B76" s="2">
        <v>8.6151481499999978</v>
      </c>
      <c r="C76" s="1"/>
      <c r="D76" s="2">
        <v>17</v>
      </c>
      <c r="E76" s="2">
        <v>127.80000000000001</v>
      </c>
      <c r="F76" s="1"/>
      <c r="G76" s="1"/>
      <c r="I76" s="1"/>
      <c r="K76" s="1"/>
      <c r="L76" s="1"/>
      <c r="M76" s="1"/>
      <c r="N76" s="1"/>
      <c r="O76" s="1"/>
      <c r="P76" s="1"/>
      <c r="Q76" s="1"/>
      <c r="R76" s="1"/>
      <c r="S76" s="1"/>
      <c r="T76" s="1"/>
      <c r="AI76">
        <f t="shared" si="14"/>
        <v>6.9422616915708346</v>
      </c>
    </row>
    <row r="77" spans="1:35" x14ac:dyDescent="0.2">
      <c r="A77" s="2">
        <v>18</v>
      </c>
      <c r="B77" s="2">
        <v>8.8506862499999972</v>
      </c>
      <c r="C77" s="1"/>
      <c r="D77" s="2">
        <v>18</v>
      </c>
      <c r="E77" s="2">
        <v>136.80000000000001</v>
      </c>
      <c r="F77" s="1"/>
      <c r="G77" s="1"/>
      <c r="I77" s="1"/>
      <c r="K77" s="1"/>
      <c r="L77" s="1"/>
      <c r="M77" s="1"/>
      <c r="N77" s="1"/>
      <c r="O77" s="1"/>
      <c r="P77" s="1"/>
      <c r="Q77" s="1"/>
      <c r="R77" s="1"/>
      <c r="S77" s="1"/>
      <c r="T77" s="1"/>
      <c r="AI77">
        <f t="shared" si="14"/>
        <v>6.5698133135145254</v>
      </c>
    </row>
    <row r="78" spans="1:35" x14ac:dyDescent="0.2">
      <c r="A78" s="2">
        <v>19</v>
      </c>
      <c r="B78" s="2">
        <v>9.759344699999998</v>
      </c>
      <c r="C78" s="1"/>
      <c r="D78" s="2">
        <v>19</v>
      </c>
      <c r="E78" s="2">
        <v>120.60000000000001</v>
      </c>
      <c r="F78" s="1"/>
      <c r="G78" s="1"/>
      <c r="I78" s="1"/>
      <c r="K78" s="1"/>
      <c r="L78" s="1"/>
      <c r="M78" s="1"/>
      <c r="N78" s="1"/>
      <c r="O78" s="1"/>
      <c r="P78" s="1"/>
      <c r="Q78" s="1"/>
      <c r="R78" s="1"/>
      <c r="S78" s="1"/>
      <c r="T78" s="1"/>
      <c r="AI78">
        <f>AI52*0.7</f>
        <v>6.028381462551522</v>
      </c>
    </row>
    <row r="79" spans="1:35" x14ac:dyDescent="0.2">
      <c r="A79" s="2">
        <v>20</v>
      </c>
      <c r="B79" s="2">
        <v>9.961388849999997</v>
      </c>
      <c r="C79" s="1"/>
      <c r="D79" s="2">
        <v>20</v>
      </c>
      <c r="E79" s="2">
        <v>117.72</v>
      </c>
      <c r="F79" s="1"/>
      <c r="G79" s="1"/>
      <c r="I79" s="1"/>
      <c r="K79" s="1"/>
      <c r="L79" s="1"/>
      <c r="M79" s="1"/>
      <c r="N79" s="1"/>
      <c r="O79" s="1"/>
      <c r="P79" s="1"/>
      <c r="Q79" s="1"/>
      <c r="R79" s="1"/>
      <c r="S79" s="1"/>
      <c r="T79" s="1"/>
      <c r="AI79">
        <f t="shared" si="14"/>
        <v>5.9533048689446337</v>
      </c>
    </row>
    <row r="80" spans="1:35" x14ac:dyDescent="0.2">
      <c r="A80" s="2">
        <v>21</v>
      </c>
      <c r="B80" s="2">
        <v>9.4081984499999987</v>
      </c>
      <c r="C80" s="1"/>
      <c r="D80" s="2">
        <v>21</v>
      </c>
      <c r="E80" s="2">
        <v>97.199999999999989</v>
      </c>
      <c r="F80" s="1"/>
      <c r="G80" s="1"/>
      <c r="I80" s="1"/>
      <c r="K80" s="1"/>
      <c r="L80" s="1"/>
      <c r="M80" s="1"/>
      <c r="N80" s="1"/>
      <c r="O80" s="1"/>
      <c r="P80" s="1"/>
      <c r="Q80" s="1"/>
      <c r="R80" s="1"/>
      <c r="S80" s="1"/>
      <c r="T80" s="1"/>
      <c r="AI80">
        <f t="shared" si="14"/>
        <v>6.0892742045974959</v>
      </c>
    </row>
    <row r="81" spans="1:20" x14ac:dyDescent="0.2">
      <c r="A81" s="2">
        <v>22</v>
      </c>
      <c r="B81" s="2">
        <v>8.6713315499999979</v>
      </c>
      <c r="C81" s="1"/>
      <c r="D81" s="2">
        <v>22</v>
      </c>
      <c r="E81" s="2">
        <v>90</v>
      </c>
      <c r="F81" s="1"/>
      <c r="G81" s="1"/>
      <c r="I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">
      <c r="A82" s="2">
        <v>23</v>
      </c>
      <c r="B82" s="2">
        <v>8.5308730499999967</v>
      </c>
      <c r="C82" s="1"/>
      <c r="D82" s="2">
        <v>23</v>
      </c>
      <c r="E82" s="2">
        <v>72</v>
      </c>
      <c r="F82" s="1"/>
      <c r="G82" s="1"/>
      <c r="I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">
      <c r="A83" s="2">
        <v>24</v>
      </c>
      <c r="B83" s="2">
        <v>7.6092491999999989</v>
      </c>
      <c r="C83" s="1"/>
      <c r="D83" s="2">
        <v>24</v>
      </c>
      <c r="E83" s="2">
        <v>46.8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</sheetData>
  <mergeCells count="4">
    <mergeCell ref="A1:U1"/>
    <mergeCell ref="A29:U29"/>
    <mergeCell ref="A58:B58"/>
    <mergeCell ref="D58:E58"/>
  </mergeCells>
  <phoneticPr fontId="10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51A83-57DB-46A9-BB80-37E3D33EE874}">
  <dimension ref="A1:U107"/>
  <sheetViews>
    <sheetView zoomScaleNormal="100" workbookViewId="0">
      <selection activeCell="H17" sqref="H17"/>
    </sheetView>
  </sheetViews>
  <sheetFormatPr defaultRowHeight="14.25" x14ac:dyDescent="0.2"/>
  <sheetData>
    <row r="1" spans="1:21" ht="25.5" x14ac:dyDescent="0.35">
      <c r="A1" s="48" t="s">
        <v>226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</row>
    <row r="2" spans="1:21" x14ac:dyDescent="0.2">
      <c r="A2" s="2" t="s">
        <v>0</v>
      </c>
      <c r="B2" s="2" t="s">
        <v>60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P2" t="s">
        <v>221</v>
      </c>
      <c r="Q2" t="s">
        <v>222</v>
      </c>
      <c r="R2" t="s">
        <v>222</v>
      </c>
      <c r="S2" t="s">
        <v>223</v>
      </c>
      <c r="T2" t="s">
        <v>224</v>
      </c>
      <c r="U2" t="s">
        <v>225</v>
      </c>
    </row>
    <row r="3" spans="1:21" x14ac:dyDescent="0.2">
      <c r="A3" s="2">
        <v>1</v>
      </c>
      <c r="B3" s="2">
        <v>0</v>
      </c>
      <c r="C3" s="2">
        <v>1.4398221808882903</v>
      </c>
      <c r="D3" s="2">
        <v>1.295839962799461</v>
      </c>
      <c r="E3" s="2">
        <v>1.7277866170659482</v>
      </c>
      <c r="F3" s="2">
        <v>0.86389330853297408</v>
      </c>
      <c r="G3" s="2">
        <v>0.86389330853297408</v>
      </c>
      <c r="H3" s="2">
        <v>1.295839962799461</v>
      </c>
      <c r="I3" s="2">
        <v>1.295839962799461</v>
      </c>
      <c r="J3" s="2">
        <v>1.295839962799461</v>
      </c>
      <c r="K3" s="2">
        <v>1.295839962799461</v>
      </c>
      <c r="L3" s="2">
        <v>1.295839962799461</v>
      </c>
      <c r="M3" s="2">
        <v>6.0472531597308192</v>
      </c>
      <c r="N3" s="2">
        <v>6.0472531597308192</v>
      </c>
      <c r="P3">
        <f>SUM(B3:N3)</f>
        <v>24.76494151127859</v>
      </c>
      <c r="Q3" s="41">
        <v>0</v>
      </c>
      <c r="R3" s="1">
        <f>SUM(P3:Q3)</f>
        <v>24.76494151127859</v>
      </c>
      <c r="S3">
        <v>26.615500000000001</v>
      </c>
      <c r="T3">
        <f>S3/R3</f>
        <v>1.0747249287012699</v>
      </c>
      <c r="U3">
        <f>AVERAGE(T3:T26)</f>
        <v>0.8976015744373772</v>
      </c>
    </row>
    <row r="4" spans="1:21" x14ac:dyDescent="0.2">
      <c r="A4" s="2">
        <v>2</v>
      </c>
      <c r="B4" s="2">
        <v>0</v>
      </c>
      <c r="C4" s="2">
        <v>1.478221756123822</v>
      </c>
      <c r="D4" s="2">
        <v>1.3303995805114397</v>
      </c>
      <c r="E4" s="2">
        <v>1.7738661073485862</v>
      </c>
      <c r="F4" s="2">
        <v>0.88693305367429309</v>
      </c>
      <c r="G4" s="2">
        <v>0.88693305367429309</v>
      </c>
      <c r="H4" s="2">
        <v>1.3303995805114397</v>
      </c>
      <c r="I4" s="2">
        <v>1.3303995805114397</v>
      </c>
      <c r="J4" s="2">
        <v>1.3303995805114397</v>
      </c>
      <c r="K4" s="2">
        <v>1.3303995805114397</v>
      </c>
      <c r="L4" s="2">
        <v>1.3303995805114397</v>
      </c>
      <c r="M4" s="2">
        <v>6.2085313757200522</v>
      </c>
      <c r="N4" s="2">
        <v>6.2085313757200522</v>
      </c>
      <c r="P4">
        <f t="shared" ref="P4:P26" si="0">SUM(B4:N4)</f>
        <v>25.425414205329737</v>
      </c>
      <c r="Q4" s="41">
        <v>0</v>
      </c>
      <c r="R4" s="1">
        <f t="shared" ref="R4:R26" si="1">SUM(P4:Q4)</f>
        <v>25.425414205329737</v>
      </c>
      <c r="S4">
        <v>26.752000000000002</v>
      </c>
      <c r="T4">
        <f t="shared" ref="T4:T26" si="2">S4/R4</f>
        <v>1.0521755824293388</v>
      </c>
    </row>
    <row r="5" spans="1:21" x14ac:dyDescent="0.2">
      <c r="A5" s="2">
        <v>3</v>
      </c>
      <c r="B5" s="2">
        <v>0</v>
      </c>
      <c r="C5" s="2">
        <v>1.4747249986541044</v>
      </c>
      <c r="D5" s="2">
        <v>1.3272524987886938</v>
      </c>
      <c r="E5" s="2">
        <v>1.7696699983849251</v>
      </c>
      <c r="F5" s="2">
        <v>0.88483499919246256</v>
      </c>
      <c r="G5" s="2">
        <v>0.88483499919246256</v>
      </c>
      <c r="H5" s="2">
        <v>1.3272524987886938</v>
      </c>
      <c r="I5" s="2">
        <v>1.3272524987886938</v>
      </c>
      <c r="J5" s="2">
        <v>1.3272524987886938</v>
      </c>
      <c r="K5" s="2">
        <v>1.3272524987886938</v>
      </c>
      <c r="L5" s="2">
        <v>1.3272524987886938</v>
      </c>
      <c r="M5" s="2">
        <v>6.1938449943472387</v>
      </c>
      <c r="N5" s="2">
        <v>6.1938449943472387</v>
      </c>
      <c r="P5">
        <f t="shared" si="0"/>
        <v>25.365269976850595</v>
      </c>
      <c r="Q5" s="41">
        <v>0</v>
      </c>
      <c r="R5" s="1">
        <f t="shared" si="1"/>
        <v>25.365269976850595</v>
      </c>
      <c r="S5">
        <v>26.646999999999998</v>
      </c>
      <c r="T5">
        <f t="shared" si="2"/>
        <v>1.0505309040400186</v>
      </c>
    </row>
    <row r="6" spans="1:21" x14ac:dyDescent="0.2">
      <c r="A6" s="2">
        <v>4</v>
      </c>
      <c r="B6" s="2">
        <v>0</v>
      </c>
      <c r="C6" s="2">
        <v>1.4853447800807533</v>
      </c>
      <c r="D6" s="2">
        <v>1.3368103020726778</v>
      </c>
      <c r="E6" s="2">
        <v>1.7824137360969039</v>
      </c>
      <c r="F6" s="2">
        <v>0.89120686804845195</v>
      </c>
      <c r="G6" s="2">
        <v>0.89120686804845195</v>
      </c>
      <c r="H6" s="2">
        <v>1.3368103020726778</v>
      </c>
      <c r="I6" s="2">
        <v>1.3368103020726778</v>
      </c>
      <c r="J6" s="2">
        <v>1.3368103020726778</v>
      </c>
      <c r="K6" s="2">
        <v>1.3368103020726778</v>
      </c>
      <c r="L6" s="2">
        <v>1.3368103020726778</v>
      </c>
      <c r="M6" s="2">
        <v>6.2384480763391643</v>
      </c>
      <c r="N6" s="2">
        <v>6.2384480763391643</v>
      </c>
      <c r="P6">
        <f t="shared" si="0"/>
        <v>25.547930217388956</v>
      </c>
      <c r="Q6" s="41">
        <v>0</v>
      </c>
      <c r="R6" s="1">
        <f t="shared" si="1"/>
        <v>25.547930217388956</v>
      </c>
      <c r="S6">
        <v>25.786000000000001</v>
      </c>
      <c r="T6">
        <f t="shared" si="2"/>
        <v>1.0093185545985641</v>
      </c>
    </row>
    <row r="7" spans="1:21" x14ac:dyDescent="0.2">
      <c r="A7" s="2">
        <v>5</v>
      </c>
      <c r="B7" s="2">
        <v>0</v>
      </c>
      <c r="C7" s="2">
        <v>1.4974539208613726</v>
      </c>
      <c r="D7" s="2">
        <v>1.3477085287752351</v>
      </c>
      <c r="E7" s="2">
        <v>1.7969447050336467</v>
      </c>
      <c r="F7" s="2">
        <v>0.89847235251682334</v>
      </c>
      <c r="G7" s="2">
        <v>0.89847235251682334</v>
      </c>
      <c r="H7" s="2">
        <v>1.3477085287752351</v>
      </c>
      <c r="I7" s="2">
        <v>1.3477085287752351</v>
      </c>
      <c r="J7" s="2">
        <v>1.3477085287752351</v>
      </c>
      <c r="K7" s="2">
        <v>1.3477085287752351</v>
      </c>
      <c r="L7" s="2">
        <v>1.3477085287752351</v>
      </c>
      <c r="M7" s="2">
        <v>6.2893064676177639</v>
      </c>
      <c r="N7" s="2">
        <v>6.2893064676177639</v>
      </c>
      <c r="P7">
        <f t="shared" si="0"/>
        <v>25.756207438815604</v>
      </c>
      <c r="Q7" s="41">
        <v>0</v>
      </c>
      <c r="R7" s="1">
        <f t="shared" si="1"/>
        <v>25.756207438815604</v>
      </c>
      <c r="S7">
        <v>26.353000000000002</v>
      </c>
      <c r="T7">
        <f t="shared" si="2"/>
        <v>1.0231708244547295</v>
      </c>
    </row>
    <row r="8" spans="1:21" x14ac:dyDescent="0.2">
      <c r="A8" s="2">
        <v>6</v>
      </c>
      <c r="B8" s="2">
        <v>0</v>
      </c>
      <c r="C8" s="2">
        <v>1.5254927337819646</v>
      </c>
      <c r="D8" s="2">
        <v>1.3729434604037678</v>
      </c>
      <c r="E8" s="2">
        <v>1.8305912805383571</v>
      </c>
      <c r="F8" s="2">
        <v>0.91529564026917853</v>
      </c>
      <c r="G8" s="2">
        <v>0.91529564026917853</v>
      </c>
      <c r="H8" s="2">
        <v>1.3729434604037678</v>
      </c>
      <c r="I8" s="2">
        <v>1.3729434604037678</v>
      </c>
      <c r="J8" s="2">
        <v>1.3729434604037678</v>
      </c>
      <c r="K8" s="2">
        <v>1.3729434604037678</v>
      </c>
      <c r="L8" s="2">
        <v>1.3729434604037678</v>
      </c>
      <c r="M8" s="2">
        <v>6.4070694818842506</v>
      </c>
      <c r="N8" s="2">
        <v>6.4070694818842506</v>
      </c>
      <c r="P8">
        <f t="shared" si="0"/>
        <v>26.238475021049787</v>
      </c>
      <c r="Q8" s="41">
        <v>0</v>
      </c>
      <c r="R8" s="1">
        <f t="shared" si="1"/>
        <v>26.238475021049787</v>
      </c>
      <c r="S8">
        <v>26.878</v>
      </c>
      <c r="T8">
        <f t="shared" si="2"/>
        <v>1.024373557473792</v>
      </c>
    </row>
    <row r="9" spans="1:21" x14ac:dyDescent="0.2">
      <c r="A9" s="2">
        <v>7</v>
      </c>
      <c r="B9" s="2">
        <v>0</v>
      </c>
      <c r="C9" s="2">
        <v>1.6105157388963656</v>
      </c>
      <c r="D9" s="2">
        <v>1.4494641650067288</v>
      </c>
      <c r="E9" s="2">
        <v>1.9326188866756384</v>
      </c>
      <c r="F9" s="2">
        <v>0.96630944333781921</v>
      </c>
      <c r="G9" s="2">
        <v>0.96630944333781921</v>
      </c>
      <c r="H9" s="2">
        <v>1.4494641650067288</v>
      </c>
      <c r="I9" s="2">
        <v>1.4494641650067288</v>
      </c>
      <c r="J9" s="2">
        <v>1.4494641650067288</v>
      </c>
      <c r="K9" s="2">
        <v>1.4494641650067288</v>
      </c>
      <c r="L9" s="2">
        <v>1.4494641650067288</v>
      </c>
      <c r="M9" s="2">
        <v>6.7641661033647349</v>
      </c>
      <c r="N9" s="2">
        <v>6.7641661033647349</v>
      </c>
      <c r="P9">
        <f t="shared" si="0"/>
        <v>27.700870709017487</v>
      </c>
      <c r="Q9" s="41">
        <v>0</v>
      </c>
      <c r="R9" s="1">
        <f t="shared" si="1"/>
        <v>27.700870709017487</v>
      </c>
      <c r="S9">
        <v>27.466000000000001</v>
      </c>
      <c r="T9">
        <f t="shared" si="2"/>
        <v>0.99152117955118901</v>
      </c>
    </row>
    <row r="10" spans="1:21" x14ac:dyDescent="0.2">
      <c r="A10" s="2">
        <v>8</v>
      </c>
      <c r="B10" s="2">
        <v>0</v>
      </c>
      <c r="C10" s="2">
        <v>1.6597941146702553</v>
      </c>
      <c r="D10" s="2">
        <v>1.4938147032032294</v>
      </c>
      <c r="E10" s="2">
        <v>1.9917529376043059</v>
      </c>
      <c r="F10" s="2">
        <v>0.99587646880215297</v>
      </c>
      <c r="G10" s="2">
        <v>0.99587646880215297</v>
      </c>
      <c r="H10" s="2">
        <v>1.4938147032032294</v>
      </c>
      <c r="I10" s="2">
        <v>1.4938147032032294</v>
      </c>
      <c r="J10" s="2">
        <v>1.4938147032032294</v>
      </c>
      <c r="K10" s="2">
        <v>1.4938147032032294</v>
      </c>
      <c r="L10" s="2">
        <v>1.4938147032032294</v>
      </c>
      <c r="M10" s="2">
        <v>6.971135281615072</v>
      </c>
      <c r="N10" s="2">
        <v>6.971135281615072</v>
      </c>
      <c r="P10">
        <f t="shared" si="0"/>
        <v>28.548458772328388</v>
      </c>
      <c r="Q10" s="41">
        <v>0</v>
      </c>
      <c r="R10" s="1">
        <f t="shared" si="1"/>
        <v>28.548458772328388</v>
      </c>
      <c r="S10">
        <v>26.92</v>
      </c>
      <c r="T10">
        <f t="shared" si="2"/>
        <v>0.94295808452164753</v>
      </c>
    </row>
    <row r="11" spans="1:21" x14ac:dyDescent="0.2">
      <c r="A11" s="2">
        <v>9</v>
      </c>
      <c r="B11" s="2">
        <v>0</v>
      </c>
      <c r="C11" s="2">
        <v>1.7797846923283978</v>
      </c>
      <c r="D11" s="2">
        <v>1.6018062230955579</v>
      </c>
      <c r="E11" s="2">
        <v>2.1357416307940769</v>
      </c>
      <c r="F11" s="2">
        <v>1.0678708153970384</v>
      </c>
      <c r="G11" s="2">
        <v>1.0678708153970384</v>
      </c>
      <c r="H11" s="2">
        <v>1.6018062230955579</v>
      </c>
      <c r="I11" s="2">
        <v>1.6018062230955579</v>
      </c>
      <c r="J11" s="2">
        <v>1.6018062230955579</v>
      </c>
      <c r="K11" s="2">
        <v>1.6018062230955579</v>
      </c>
      <c r="L11" s="2">
        <v>1.6018062230955579</v>
      </c>
      <c r="M11" s="2">
        <v>7.4750957077792703</v>
      </c>
      <c r="N11" s="2">
        <v>7.4750957077792703</v>
      </c>
      <c r="P11">
        <f t="shared" si="0"/>
        <v>30.61229670804844</v>
      </c>
      <c r="Q11" s="41">
        <v>0</v>
      </c>
      <c r="R11" s="1">
        <f t="shared" si="1"/>
        <v>30.61229670804844</v>
      </c>
      <c r="S11">
        <v>26.646999999999998</v>
      </c>
      <c r="T11">
        <f t="shared" si="2"/>
        <v>0.87046719343322243</v>
      </c>
    </row>
    <row r="12" spans="1:21" x14ac:dyDescent="0.2">
      <c r="A12" s="2">
        <v>10</v>
      </c>
      <c r="B12" s="2">
        <v>0</v>
      </c>
      <c r="C12" s="2">
        <v>1.8323008064602955</v>
      </c>
      <c r="D12" s="2">
        <v>1.6490707258142656</v>
      </c>
      <c r="E12" s="2">
        <v>2.1987609677523543</v>
      </c>
      <c r="F12" s="2">
        <v>1.0993804838761772</v>
      </c>
      <c r="G12" s="2">
        <v>1.0993804838761772</v>
      </c>
      <c r="H12" s="2">
        <v>1.6490707258142656</v>
      </c>
      <c r="I12" s="2">
        <v>1.6490707258142656</v>
      </c>
      <c r="J12" s="2">
        <v>1.6490707258142656</v>
      </c>
      <c r="K12" s="2">
        <v>1.6490707258142656</v>
      </c>
      <c r="L12" s="2">
        <v>1.6490707258142656</v>
      </c>
      <c r="M12" s="2">
        <v>7.6956633871332407</v>
      </c>
      <c r="N12" s="2">
        <v>7.6956633871332407</v>
      </c>
      <c r="P12">
        <f t="shared" si="0"/>
        <v>31.515573871117081</v>
      </c>
      <c r="Q12" s="41">
        <v>0</v>
      </c>
      <c r="R12" s="1">
        <f t="shared" si="1"/>
        <v>31.515573871117081</v>
      </c>
      <c r="S12">
        <v>22.468</v>
      </c>
      <c r="T12">
        <f t="shared" si="2"/>
        <v>0.71291736878671075</v>
      </c>
    </row>
    <row r="13" spans="1:21" x14ac:dyDescent="0.2">
      <c r="A13" s="2">
        <v>11</v>
      </c>
      <c r="B13" s="2">
        <v>0</v>
      </c>
      <c r="C13" s="2">
        <v>1.861569959623149</v>
      </c>
      <c r="D13" s="2">
        <v>1.6754129636608339</v>
      </c>
      <c r="E13" s="2">
        <v>2.2338839515477784</v>
      </c>
      <c r="F13" s="2">
        <v>1.1169419757738892</v>
      </c>
      <c r="G13" s="2">
        <v>1.1169419757738892</v>
      </c>
      <c r="H13" s="2">
        <v>1.6754129636608339</v>
      </c>
      <c r="I13" s="2">
        <v>1.6754129636608339</v>
      </c>
      <c r="J13" s="2">
        <v>1.6754129636608339</v>
      </c>
      <c r="K13" s="2">
        <v>1.6754129636608339</v>
      </c>
      <c r="L13" s="2">
        <v>1.6754129636608339</v>
      </c>
      <c r="M13" s="2">
        <v>7.8185938304172256</v>
      </c>
      <c r="N13" s="2">
        <v>7.8185938304172256</v>
      </c>
      <c r="P13">
        <f t="shared" si="0"/>
        <v>32.019003305518162</v>
      </c>
      <c r="Q13" s="41">
        <v>0</v>
      </c>
      <c r="R13" s="1">
        <f t="shared" si="1"/>
        <v>32.019003305518162</v>
      </c>
      <c r="S13">
        <v>22.846</v>
      </c>
      <c r="T13">
        <f t="shared" si="2"/>
        <v>0.71351377749046663</v>
      </c>
    </row>
    <row r="14" spans="1:21" x14ac:dyDescent="0.2">
      <c r="A14" s="2">
        <v>12</v>
      </c>
      <c r="B14" s="2">
        <v>0</v>
      </c>
      <c r="C14" s="2">
        <v>1.8874718654104974</v>
      </c>
      <c r="D14" s="2">
        <v>1.6987246788694474</v>
      </c>
      <c r="E14" s="2">
        <v>2.2649662384925966</v>
      </c>
      <c r="F14" s="2">
        <v>1.1324831192462983</v>
      </c>
      <c r="G14" s="2">
        <v>1.1324831192462983</v>
      </c>
      <c r="H14" s="2">
        <v>1.6987246788694474</v>
      </c>
      <c r="I14" s="2">
        <v>1.6987246788694474</v>
      </c>
      <c r="J14" s="2">
        <v>1.6987246788694474</v>
      </c>
      <c r="K14" s="2">
        <v>1.6987246788694474</v>
      </c>
      <c r="L14" s="2">
        <v>1.6987246788694474</v>
      </c>
      <c r="M14" s="2">
        <v>7.9273818347240885</v>
      </c>
      <c r="N14" s="2">
        <v>7.9273818347240885</v>
      </c>
      <c r="P14">
        <f t="shared" si="0"/>
        <v>32.464516085060552</v>
      </c>
      <c r="Q14" s="41">
        <v>0</v>
      </c>
      <c r="R14" s="1">
        <f t="shared" si="1"/>
        <v>32.464516085060552</v>
      </c>
      <c r="S14">
        <v>23.391999999999999</v>
      </c>
      <c r="T14">
        <f t="shared" si="2"/>
        <v>0.72054054151647984</v>
      </c>
    </row>
    <row r="15" spans="1:21" x14ac:dyDescent="0.2">
      <c r="A15" s="2">
        <v>13</v>
      </c>
      <c r="B15" s="2">
        <v>0</v>
      </c>
      <c r="C15" s="2">
        <v>1.7415146271870789</v>
      </c>
      <c r="D15" s="2">
        <v>1.5673631644683708</v>
      </c>
      <c r="E15" s="2">
        <v>2.0898175526244942</v>
      </c>
      <c r="F15" s="2">
        <v>1.0449087763122471</v>
      </c>
      <c r="G15" s="2">
        <v>1.0449087763122471</v>
      </c>
      <c r="H15" s="2">
        <v>1.5673631644683708</v>
      </c>
      <c r="I15" s="2">
        <v>1.5673631644683708</v>
      </c>
      <c r="J15" s="2">
        <v>1.5673631644683708</v>
      </c>
      <c r="K15" s="2">
        <v>1.5673631644683708</v>
      </c>
      <c r="L15" s="2">
        <v>1.5673631644683708</v>
      </c>
      <c r="M15" s="2">
        <v>7.3143614341857308</v>
      </c>
      <c r="N15" s="2">
        <v>7.3143614341857308</v>
      </c>
      <c r="P15">
        <f t="shared" si="0"/>
        <v>29.954051587617755</v>
      </c>
      <c r="Q15" s="41">
        <v>0</v>
      </c>
      <c r="R15" s="1">
        <f t="shared" si="1"/>
        <v>29.954051587617755</v>
      </c>
      <c r="S15">
        <v>23.664999999999999</v>
      </c>
      <c r="T15">
        <f t="shared" si="2"/>
        <v>0.79004337462590568</v>
      </c>
    </row>
    <row r="16" spans="1:21" x14ac:dyDescent="0.2">
      <c r="A16" s="2">
        <v>14</v>
      </c>
      <c r="B16" s="2">
        <v>0</v>
      </c>
      <c r="C16" s="2">
        <v>1.7216996689098247</v>
      </c>
      <c r="D16" s="2">
        <v>1.5495297020188419</v>
      </c>
      <c r="E16" s="2">
        <v>2.0660396026917893</v>
      </c>
      <c r="F16" s="2">
        <v>1.0330198013458947</v>
      </c>
      <c r="G16" s="2">
        <v>1.0330198013458947</v>
      </c>
      <c r="H16" s="2">
        <v>1.5495297020188419</v>
      </c>
      <c r="I16" s="2">
        <v>1.5495297020188419</v>
      </c>
      <c r="J16" s="2">
        <v>1.5495297020188419</v>
      </c>
      <c r="K16" s="2">
        <v>1.5495297020188419</v>
      </c>
      <c r="L16" s="2">
        <v>1.5495297020188419</v>
      </c>
      <c r="M16" s="2">
        <v>7.2311386094212633</v>
      </c>
      <c r="N16" s="2">
        <v>7.2311386094212633</v>
      </c>
      <c r="P16">
        <f t="shared" si="0"/>
        <v>29.61323430524898</v>
      </c>
      <c r="Q16" s="41">
        <v>0</v>
      </c>
      <c r="R16" s="1">
        <f t="shared" si="1"/>
        <v>29.61323430524898</v>
      </c>
      <c r="S16">
        <v>22.982500000000002</v>
      </c>
      <c r="T16">
        <f t="shared" si="2"/>
        <v>0.77608881769210625</v>
      </c>
    </row>
    <row r="17" spans="1:21" x14ac:dyDescent="0.2">
      <c r="A17" s="2">
        <v>15</v>
      </c>
      <c r="B17" s="2">
        <v>0</v>
      </c>
      <c r="C17" s="2">
        <v>1.7450761388963656</v>
      </c>
      <c r="D17" s="2">
        <v>1.5705685250067289</v>
      </c>
      <c r="E17" s="2">
        <v>2.0940913666756384</v>
      </c>
      <c r="F17" s="2">
        <v>1.0470456833378192</v>
      </c>
      <c r="G17" s="2">
        <v>1.0470456833378192</v>
      </c>
      <c r="H17" s="2">
        <v>1.5705685250067289</v>
      </c>
      <c r="I17" s="2">
        <v>1.5705685250067289</v>
      </c>
      <c r="J17" s="2">
        <v>1.5705685250067289</v>
      </c>
      <c r="K17" s="2">
        <v>1.5705685250067289</v>
      </c>
      <c r="L17" s="2">
        <v>1.5705685250067289</v>
      </c>
      <c r="M17" s="2">
        <v>7.3293197833647357</v>
      </c>
      <c r="N17" s="2">
        <v>7.3293197833647357</v>
      </c>
      <c r="P17">
        <f t="shared" si="0"/>
        <v>30.015309589017487</v>
      </c>
      <c r="Q17" s="41">
        <v>0</v>
      </c>
      <c r="R17" s="1">
        <f t="shared" si="1"/>
        <v>30.015309589017487</v>
      </c>
      <c r="S17">
        <v>23.119</v>
      </c>
      <c r="T17">
        <f t="shared" si="2"/>
        <v>0.77024026460347328</v>
      </c>
    </row>
    <row r="18" spans="1:21" x14ac:dyDescent="0.2">
      <c r="A18" s="2">
        <v>16</v>
      </c>
      <c r="B18" s="2">
        <v>0</v>
      </c>
      <c r="C18" s="2">
        <v>1.7628189442799458</v>
      </c>
      <c r="D18" s="2">
        <v>1.5865370498519509</v>
      </c>
      <c r="E18" s="2">
        <v>2.1153827331359345</v>
      </c>
      <c r="F18" s="2">
        <v>1.0576913665679673</v>
      </c>
      <c r="G18" s="2">
        <v>1.0576913665679673</v>
      </c>
      <c r="H18" s="2">
        <v>1.5865370498519509</v>
      </c>
      <c r="I18" s="2">
        <v>1.5865370498519509</v>
      </c>
      <c r="J18" s="2">
        <v>1.5865370498519509</v>
      </c>
      <c r="K18" s="2">
        <v>1.5865370498519509</v>
      </c>
      <c r="L18" s="2">
        <v>1.5865370498519509</v>
      </c>
      <c r="M18" s="2">
        <v>7.4038395659757716</v>
      </c>
      <c r="N18" s="2">
        <v>7.4038395659757716</v>
      </c>
      <c r="P18">
        <f t="shared" si="0"/>
        <v>30.320485841615067</v>
      </c>
      <c r="Q18" s="41">
        <v>0</v>
      </c>
      <c r="R18" s="1">
        <f t="shared" si="1"/>
        <v>30.320485841615067</v>
      </c>
      <c r="S18">
        <v>23.643999999999998</v>
      </c>
      <c r="T18">
        <f t="shared" si="2"/>
        <v>0.77980280802586788</v>
      </c>
    </row>
    <row r="19" spans="1:21" x14ac:dyDescent="0.2">
      <c r="A19" s="2">
        <v>17</v>
      </c>
      <c r="B19" s="2">
        <v>0</v>
      </c>
      <c r="C19" s="2">
        <v>1.78930364306864</v>
      </c>
      <c r="D19" s="2">
        <v>1.6103732787617757</v>
      </c>
      <c r="E19" s="2">
        <v>2.1471643716823676</v>
      </c>
      <c r="F19" s="2">
        <v>1.0735821858411838</v>
      </c>
      <c r="G19" s="2">
        <v>1.0735821858411838</v>
      </c>
      <c r="H19" s="2">
        <v>1.6103732787617757</v>
      </c>
      <c r="I19" s="2">
        <v>1.6103732787617757</v>
      </c>
      <c r="J19" s="2">
        <v>1.6103732787617757</v>
      </c>
      <c r="K19" s="2">
        <v>1.6103732787617757</v>
      </c>
      <c r="L19" s="2">
        <v>1.6103732787617757</v>
      </c>
      <c r="M19" s="2">
        <v>7.515075300888288</v>
      </c>
      <c r="N19" s="2">
        <v>7.515075300888288</v>
      </c>
      <c r="P19">
        <f t="shared" si="0"/>
        <v>30.776022660780605</v>
      </c>
      <c r="Q19" s="41">
        <v>0</v>
      </c>
      <c r="R19" s="1">
        <f t="shared" si="1"/>
        <v>30.776022660780605</v>
      </c>
      <c r="S19">
        <v>27.192999999999998</v>
      </c>
      <c r="T19">
        <f t="shared" si="2"/>
        <v>0.88357746222527223</v>
      </c>
    </row>
    <row r="20" spans="1:21" x14ac:dyDescent="0.2">
      <c r="A20" s="2">
        <v>18</v>
      </c>
      <c r="B20" s="2">
        <v>0</v>
      </c>
      <c r="C20" s="2">
        <v>1.8221343084791384</v>
      </c>
      <c r="D20" s="2">
        <v>1.6399208776312242</v>
      </c>
      <c r="E20" s="2">
        <v>2.1865611701749654</v>
      </c>
      <c r="F20" s="2">
        <v>1.0932805850874827</v>
      </c>
      <c r="G20" s="2">
        <v>1.0932805850874827</v>
      </c>
      <c r="H20" s="2">
        <v>1.6399208776312242</v>
      </c>
      <c r="I20" s="2">
        <v>1.6399208776312242</v>
      </c>
      <c r="J20" s="2">
        <v>1.6399208776312242</v>
      </c>
      <c r="K20" s="2">
        <v>1.6399208776312242</v>
      </c>
      <c r="L20" s="2">
        <v>1.6399208776312242</v>
      </c>
      <c r="M20" s="2">
        <v>7.652964095612381</v>
      </c>
      <c r="N20" s="2">
        <v>7.652964095612381</v>
      </c>
      <c r="P20">
        <f t="shared" si="0"/>
        <v>31.340710105841175</v>
      </c>
      <c r="Q20" s="41">
        <v>0</v>
      </c>
      <c r="R20" s="1">
        <f t="shared" si="1"/>
        <v>31.340710105841175</v>
      </c>
      <c r="S20">
        <v>26.3215</v>
      </c>
      <c r="T20">
        <f t="shared" si="2"/>
        <v>0.83985014733582208</v>
      </c>
    </row>
    <row r="21" spans="1:21" x14ac:dyDescent="0.2">
      <c r="A21" s="2">
        <v>19</v>
      </c>
      <c r="B21" s="2">
        <v>0</v>
      </c>
      <c r="C21" s="2">
        <v>1.9088409372812918</v>
      </c>
      <c r="D21" s="2">
        <v>1.7179568435531622</v>
      </c>
      <c r="E21" s="2">
        <v>2.2906091247375495</v>
      </c>
      <c r="F21" s="2">
        <v>1.1453045623687748</v>
      </c>
      <c r="G21" s="2">
        <v>1.1453045623687748</v>
      </c>
      <c r="H21" s="2">
        <v>1.7179568435531622</v>
      </c>
      <c r="I21" s="2">
        <v>1.7179568435531622</v>
      </c>
      <c r="J21" s="2">
        <v>1.7179568435531622</v>
      </c>
      <c r="K21" s="2">
        <v>1.7179568435531622</v>
      </c>
      <c r="L21" s="2">
        <v>1.7179568435531622</v>
      </c>
      <c r="M21" s="2">
        <v>8.0171319365814249</v>
      </c>
      <c r="N21" s="2">
        <v>8.0171319365814249</v>
      </c>
      <c r="P21">
        <f t="shared" si="0"/>
        <v>32.832064121238218</v>
      </c>
      <c r="Q21" s="41">
        <v>0</v>
      </c>
      <c r="R21" s="1">
        <f t="shared" si="1"/>
        <v>32.832064121238218</v>
      </c>
      <c r="S21">
        <v>26.941000000000003</v>
      </c>
      <c r="T21">
        <f t="shared" si="2"/>
        <v>0.82056979118082807</v>
      </c>
    </row>
    <row r="22" spans="1:21" x14ac:dyDescent="0.2">
      <c r="A22" s="2">
        <v>20</v>
      </c>
      <c r="B22" s="2">
        <v>0</v>
      </c>
      <c r="C22" s="2">
        <v>1.8382582444145352</v>
      </c>
      <c r="D22" s="2">
        <v>1.6544324199730815</v>
      </c>
      <c r="E22" s="2">
        <v>2.2059098932974419</v>
      </c>
      <c r="F22" s="2">
        <v>1.102954946648721</v>
      </c>
      <c r="G22" s="2">
        <v>1.102954946648721</v>
      </c>
      <c r="H22" s="2">
        <v>1.6544324199730815</v>
      </c>
      <c r="I22" s="2">
        <v>1.6544324199730815</v>
      </c>
      <c r="J22" s="2">
        <v>1.6544324199730815</v>
      </c>
      <c r="K22" s="2">
        <v>1.6544324199730815</v>
      </c>
      <c r="L22" s="2">
        <v>1.6544324199730815</v>
      </c>
      <c r="M22" s="2">
        <v>7.7206846265410478</v>
      </c>
      <c r="N22" s="2">
        <v>7.7206846265410478</v>
      </c>
      <c r="P22">
        <f t="shared" si="0"/>
        <v>31.618041803930002</v>
      </c>
      <c r="Q22" s="41">
        <v>0</v>
      </c>
      <c r="R22" s="1">
        <f t="shared" si="1"/>
        <v>31.618041803930002</v>
      </c>
      <c r="S22">
        <v>25.5823</v>
      </c>
      <c r="T22">
        <f t="shared" si="2"/>
        <v>0.80910450301258752</v>
      </c>
    </row>
    <row r="23" spans="1:21" x14ac:dyDescent="0.2">
      <c r="A23" s="2">
        <v>21</v>
      </c>
      <c r="B23" s="2">
        <v>0</v>
      </c>
      <c r="C23" s="2">
        <v>1.7396367386271867</v>
      </c>
      <c r="D23" s="2">
        <v>1.5656730647644677</v>
      </c>
      <c r="E23" s="2">
        <v>2.0875640863526237</v>
      </c>
      <c r="F23" s="2">
        <v>1.0437820431763118</v>
      </c>
      <c r="G23" s="2">
        <v>1.0437820431763118</v>
      </c>
      <c r="H23" s="2">
        <v>1.5656730647644677</v>
      </c>
      <c r="I23" s="2">
        <v>1.5656730647644677</v>
      </c>
      <c r="J23" s="2">
        <v>1.5656730647644677</v>
      </c>
      <c r="K23" s="2">
        <v>1.5656730647644677</v>
      </c>
      <c r="L23" s="2">
        <v>1.5656730647644677</v>
      </c>
      <c r="M23" s="2">
        <v>7.3064743022341831</v>
      </c>
      <c r="N23" s="2">
        <v>7.3064743022341831</v>
      </c>
      <c r="P23">
        <f t="shared" si="0"/>
        <v>29.921751904387605</v>
      </c>
      <c r="Q23" s="41">
        <v>0</v>
      </c>
      <c r="R23" s="1">
        <f t="shared" si="1"/>
        <v>29.921751904387605</v>
      </c>
      <c r="S23">
        <v>26.374000000000002</v>
      </c>
      <c r="T23">
        <f t="shared" si="2"/>
        <v>0.8814323467514823</v>
      </c>
    </row>
    <row r="24" spans="1:21" x14ac:dyDescent="0.2">
      <c r="A24" s="2">
        <v>22</v>
      </c>
      <c r="B24" s="2">
        <v>0</v>
      </c>
      <c r="C24" s="2">
        <v>1.5962696909825029</v>
      </c>
      <c r="D24" s="2">
        <v>1.4366427218842523</v>
      </c>
      <c r="E24" s="2">
        <v>1.9155236291790032</v>
      </c>
      <c r="F24" s="2">
        <v>0.9577618145895016</v>
      </c>
      <c r="G24" s="2">
        <v>0.9577618145895016</v>
      </c>
      <c r="H24" s="2">
        <v>1.4366427218842523</v>
      </c>
      <c r="I24" s="2">
        <v>1.4366427218842523</v>
      </c>
      <c r="J24" s="2">
        <v>1.4366427218842523</v>
      </c>
      <c r="K24" s="2">
        <v>1.4366427218842523</v>
      </c>
      <c r="L24" s="2">
        <v>1.4366427218842523</v>
      </c>
      <c r="M24" s="2">
        <v>6.7043327021265116</v>
      </c>
      <c r="N24" s="2">
        <v>6.7043327021265116</v>
      </c>
      <c r="P24">
        <f t="shared" si="0"/>
        <v>27.455838684899046</v>
      </c>
      <c r="Q24" s="41">
        <v>0</v>
      </c>
      <c r="R24" s="1">
        <f t="shared" si="1"/>
        <v>27.455838684899046</v>
      </c>
      <c r="S24">
        <v>27.192999999999998</v>
      </c>
      <c r="T24">
        <f t="shared" si="2"/>
        <v>0.99042685645426631</v>
      </c>
    </row>
    <row r="25" spans="1:21" x14ac:dyDescent="0.2">
      <c r="A25" s="2">
        <v>23</v>
      </c>
      <c r="B25" s="2">
        <v>0</v>
      </c>
      <c r="C25" s="2">
        <v>1.5763899784656792</v>
      </c>
      <c r="D25" s="2">
        <v>1.418750980619111</v>
      </c>
      <c r="E25" s="2">
        <v>1.8916679741588147</v>
      </c>
      <c r="F25" s="2">
        <v>0.94583398707940736</v>
      </c>
      <c r="G25" s="2">
        <v>0.94583398707940736</v>
      </c>
      <c r="H25" s="2">
        <v>1.418750980619111</v>
      </c>
      <c r="I25" s="2">
        <v>1.418750980619111</v>
      </c>
      <c r="J25" s="2">
        <v>1.418750980619111</v>
      </c>
      <c r="K25" s="2">
        <v>1.418750980619111</v>
      </c>
      <c r="L25" s="2">
        <v>1.418750980619111</v>
      </c>
      <c r="M25" s="2">
        <v>6.6208379095558527</v>
      </c>
      <c r="N25" s="2">
        <v>6.6208379095558527</v>
      </c>
      <c r="P25">
        <f t="shared" si="0"/>
        <v>27.113907629609677</v>
      </c>
      <c r="Q25" s="41">
        <v>0</v>
      </c>
      <c r="R25" s="1">
        <f t="shared" si="1"/>
        <v>27.113907629609677</v>
      </c>
      <c r="S25">
        <v>27.466000000000001</v>
      </c>
      <c r="T25">
        <f t="shared" si="2"/>
        <v>1.0129856741861074</v>
      </c>
    </row>
    <row r="26" spans="1:21" x14ac:dyDescent="0.2">
      <c r="A26" s="2">
        <v>24</v>
      </c>
      <c r="B26" s="2">
        <v>0</v>
      </c>
      <c r="C26" s="2">
        <v>1.612393627456258</v>
      </c>
      <c r="D26" s="2">
        <v>1.4511542647106319</v>
      </c>
      <c r="E26" s="2">
        <v>1.9348723529475091</v>
      </c>
      <c r="F26" s="2">
        <v>0.96743617647375457</v>
      </c>
      <c r="G26" s="2">
        <v>0.96743617647375457</v>
      </c>
      <c r="H26" s="2">
        <v>1.4511542647106319</v>
      </c>
      <c r="I26" s="2">
        <v>1.4511542647106319</v>
      </c>
      <c r="J26" s="2">
        <v>1.4511542647106319</v>
      </c>
      <c r="K26" s="2">
        <v>1.4511542647106319</v>
      </c>
      <c r="L26" s="2">
        <v>1.4511542647106319</v>
      </c>
      <c r="M26" s="2">
        <v>6.7720532353162826</v>
      </c>
      <c r="N26" s="2">
        <v>6.7720532353162826</v>
      </c>
      <c r="P26">
        <f t="shared" si="0"/>
        <v>27.733170392247629</v>
      </c>
      <c r="Q26" s="41">
        <v>0</v>
      </c>
      <c r="R26" s="1">
        <f t="shared" si="1"/>
        <v>27.733170392247629</v>
      </c>
      <c r="S26">
        <v>27.791499999999999</v>
      </c>
      <c r="T26">
        <f t="shared" si="2"/>
        <v>1.0021032434059063</v>
      </c>
    </row>
    <row r="28" spans="1:21" ht="25.5" x14ac:dyDescent="0.35">
      <c r="A28" s="48" t="s">
        <v>227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</row>
    <row r="29" spans="1:21" x14ac:dyDescent="0.2">
      <c r="A29" s="2" t="s">
        <v>0</v>
      </c>
      <c r="B29" s="2" t="s">
        <v>36</v>
      </c>
      <c r="C29" s="2" t="s">
        <v>37</v>
      </c>
      <c r="D29" s="2" t="s">
        <v>38</v>
      </c>
      <c r="E29" s="2" t="s">
        <v>39</v>
      </c>
      <c r="F29" s="2" t="s">
        <v>40</v>
      </c>
      <c r="G29" s="2" t="s">
        <v>41</v>
      </c>
      <c r="H29" s="2" t="s">
        <v>42</v>
      </c>
      <c r="I29" s="2" t="s">
        <v>43</v>
      </c>
      <c r="P29" t="s">
        <v>221</v>
      </c>
      <c r="Q29" t="s">
        <v>222</v>
      </c>
      <c r="R29" t="s">
        <v>222</v>
      </c>
      <c r="S29" t="s">
        <v>223</v>
      </c>
      <c r="T29" t="s">
        <v>224</v>
      </c>
      <c r="U29" t="s">
        <v>225</v>
      </c>
    </row>
    <row r="30" spans="1:21" x14ac:dyDescent="0.2">
      <c r="A30" s="2">
        <v>1</v>
      </c>
      <c r="B30" s="2">
        <v>0.86389330853297408</v>
      </c>
      <c r="C30" s="2">
        <v>0.86389330853297408</v>
      </c>
      <c r="D30" s="2">
        <v>0.86389330853297408</v>
      </c>
      <c r="E30" s="2">
        <v>1.7277866170659482</v>
      </c>
      <c r="F30" s="2">
        <v>2.8796443617765806</v>
      </c>
      <c r="G30" s="2">
        <v>2.1597332713324353</v>
      </c>
      <c r="H30" s="2">
        <v>3.0236265798654096</v>
      </c>
      <c r="I30" s="2">
        <v>0.86389330853297408</v>
      </c>
      <c r="P30">
        <f>SUM(B30:N30)</f>
        <v>13.246364064172269</v>
      </c>
      <c r="Q30" s="41">
        <v>4.5</v>
      </c>
      <c r="R30" s="1">
        <f>SUM(P30:Q30)</f>
        <v>17.746364064172269</v>
      </c>
      <c r="S30">
        <v>22.615500000000001</v>
      </c>
      <c r="T30">
        <f>S30/R30</f>
        <v>1.2743737206235908</v>
      </c>
      <c r="U30">
        <f>AVERAGE(T30:T53)</f>
        <v>1.0942936828428795</v>
      </c>
    </row>
    <row r="31" spans="1:21" x14ac:dyDescent="0.2">
      <c r="A31" s="2">
        <v>2</v>
      </c>
      <c r="B31" s="2">
        <v>0.88693305367429309</v>
      </c>
      <c r="C31" s="2">
        <v>0.88693305367429309</v>
      </c>
      <c r="D31" s="2">
        <v>0.88693305367429309</v>
      </c>
      <c r="E31" s="2">
        <v>1.7738661073485862</v>
      </c>
      <c r="F31" s="2">
        <v>2.956443512247644</v>
      </c>
      <c r="G31" s="2">
        <v>2.2173326341857327</v>
      </c>
      <c r="H31" s="2">
        <v>3.1042656878600261</v>
      </c>
      <c r="I31" s="2">
        <v>0.88693305367429309</v>
      </c>
      <c r="P31">
        <f t="shared" ref="P31:P53" si="3">SUM(B31:N31)</f>
        <v>13.599640156339161</v>
      </c>
      <c r="Q31" s="41">
        <v>4.5</v>
      </c>
      <c r="R31" s="1">
        <f t="shared" ref="R31:R53" si="4">SUM(P31:Q31)</f>
        <v>18.099640156339163</v>
      </c>
      <c r="S31">
        <v>22.752000000000002</v>
      </c>
      <c r="T31">
        <f t="shared" ref="T31:T53" si="5">S31/R31</f>
        <v>1.257041565659603</v>
      </c>
    </row>
    <row r="32" spans="1:21" x14ac:dyDescent="0.2">
      <c r="A32" s="2">
        <v>3</v>
      </c>
      <c r="B32" s="2">
        <v>0.88483499919246256</v>
      </c>
      <c r="C32" s="2">
        <v>0.88483499919246256</v>
      </c>
      <c r="D32" s="2">
        <v>0.88483499919246256</v>
      </c>
      <c r="E32" s="2">
        <v>1.7696699983849251</v>
      </c>
      <c r="F32" s="2">
        <v>2.9494499973082089</v>
      </c>
      <c r="G32" s="2">
        <v>2.2120874979811562</v>
      </c>
      <c r="H32" s="2">
        <v>3.0969224971736193</v>
      </c>
      <c r="I32" s="2">
        <v>0.88483499919246256</v>
      </c>
      <c r="P32">
        <f t="shared" si="3"/>
        <v>13.567469987617757</v>
      </c>
      <c r="Q32" s="41">
        <v>4.5</v>
      </c>
      <c r="R32" s="1">
        <f t="shared" si="4"/>
        <v>18.067469987617756</v>
      </c>
      <c r="S32">
        <v>22.646999999999998</v>
      </c>
      <c r="T32">
        <f t="shared" si="5"/>
        <v>1.2534682507025472</v>
      </c>
    </row>
    <row r="33" spans="1:20" x14ac:dyDescent="0.2">
      <c r="A33" s="2">
        <v>4</v>
      </c>
      <c r="B33" s="2">
        <v>0.89120686804845195</v>
      </c>
      <c r="C33" s="2">
        <v>0.89120686804845195</v>
      </c>
      <c r="D33" s="2">
        <v>0.89120686804845195</v>
      </c>
      <c r="E33" s="2">
        <v>1.7824137360969039</v>
      </c>
      <c r="F33" s="2">
        <v>2.9706895601615066</v>
      </c>
      <c r="G33" s="2">
        <v>2.2280171701211295</v>
      </c>
      <c r="H33" s="2">
        <v>3.1192240381695822</v>
      </c>
      <c r="I33" s="2">
        <v>0.89120686804845195</v>
      </c>
      <c r="P33">
        <f t="shared" si="3"/>
        <v>13.665171976742929</v>
      </c>
      <c r="Q33" s="41">
        <v>4.5</v>
      </c>
      <c r="R33" s="1">
        <f t="shared" si="4"/>
        <v>18.165171976742929</v>
      </c>
      <c r="S33">
        <v>21.786000000000001</v>
      </c>
      <c r="T33">
        <f t="shared" si="5"/>
        <v>1.1993280343226509</v>
      </c>
    </row>
    <row r="34" spans="1:20" x14ac:dyDescent="0.2">
      <c r="A34" s="2">
        <v>5</v>
      </c>
      <c r="B34" s="2">
        <v>0.89847235251682334</v>
      </c>
      <c r="C34" s="2">
        <v>0.89847235251682334</v>
      </c>
      <c r="D34" s="2">
        <v>0.89847235251682334</v>
      </c>
      <c r="E34" s="2">
        <v>1.7969447050336467</v>
      </c>
      <c r="F34" s="2">
        <v>2.9949078417227453</v>
      </c>
      <c r="G34" s="2">
        <v>2.2461808812920583</v>
      </c>
      <c r="H34" s="2">
        <v>3.144653233808882</v>
      </c>
      <c r="I34" s="2">
        <v>0.89847235251682334</v>
      </c>
      <c r="P34">
        <f t="shared" si="3"/>
        <v>13.776576071924625</v>
      </c>
      <c r="Q34" s="41">
        <v>4.5</v>
      </c>
      <c r="R34" s="1">
        <f t="shared" si="4"/>
        <v>18.276576071924623</v>
      </c>
      <c r="S34">
        <v>22.353000000000002</v>
      </c>
      <c r="T34">
        <f t="shared" si="5"/>
        <v>1.2230408973777827</v>
      </c>
    </row>
    <row r="35" spans="1:20" x14ac:dyDescent="0.2">
      <c r="A35" s="2">
        <v>6</v>
      </c>
      <c r="B35" s="2">
        <v>0.91529564026917853</v>
      </c>
      <c r="C35" s="2">
        <v>0.91529564026917853</v>
      </c>
      <c r="D35" s="2">
        <v>0.91529564026917853</v>
      </c>
      <c r="E35" s="2">
        <v>1.8305912805383571</v>
      </c>
      <c r="F35" s="2">
        <v>3.0509854675639292</v>
      </c>
      <c r="G35" s="2">
        <v>2.2882391006729463</v>
      </c>
      <c r="H35" s="2">
        <v>3.2035347409421253</v>
      </c>
      <c r="I35" s="2">
        <v>0.91529564026917853</v>
      </c>
      <c r="P35">
        <f t="shared" si="3"/>
        <v>14.034533150794072</v>
      </c>
      <c r="Q35" s="41">
        <v>4.5</v>
      </c>
      <c r="R35" s="1">
        <f t="shared" si="4"/>
        <v>18.534533150794072</v>
      </c>
      <c r="S35">
        <v>22.878</v>
      </c>
      <c r="T35">
        <f t="shared" si="5"/>
        <v>1.2343445509993782</v>
      </c>
    </row>
    <row r="36" spans="1:20" x14ac:dyDescent="0.2">
      <c r="A36" s="2">
        <v>7</v>
      </c>
      <c r="B36" s="2">
        <v>0.96630944333781921</v>
      </c>
      <c r="C36" s="2">
        <v>0.96630944333781921</v>
      </c>
      <c r="D36" s="2">
        <v>0.96630944333781921</v>
      </c>
      <c r="E36" s="2">
        <v>1.9326188866756384</v>
      </c>
      <c r="F36" s="2">
        <v>3.2210314777927311</v>
      </c>
      <c r="G36" s="2">
        <v>2.4157736083445482</v>
      </c>
      <c r="H36" s="2">
        <v>3.3820830516823674</v>
      </c>
      <c r="I36" s="2">
        <v>0.96630944333781921</v>
      </c>
      <c r="P36">
        <f t="shared" si="3"/>
        <v>14.816744797846562</v>
      </c>
      <c r="Q36" s="41">
        <v>4.5</v>
      </c>
      <c r="R36" s="1">
        <f t="shared" si="4"/>
        <v>19.31674479784656</v>
      </c>
      <c r="S36">
        <v>23.466000000000001</v>
      </c>
      <c r="T36">
        <f t="shared" si="5"/>
        <v>1.2148009535548661</v>
      </c>
    </row>
    <row r="37" spans="1:20" x14ac:dyDescent="0.2">
      <c r="A37" s="2">
        <v>8</v>
      </c>
      <c r="B37" s="2">
        <v>0.99587646880215297</v>
      </c>
      <c r="C37" s="2">
        <v>0.99587646880215297</v>
      </c>
      <c r="D37" s="2">
        <v>0.99587646880215297</v>
      </c>
      <c r="E37" s="2">
        <v>1.9917529376043059</v>
      </c>
      <c r="F37" s="2">
        <v>3.3195882293405106</v>
      </c>
      <c r="G37" s="2">
        <v>2.4896911720053825</v>
      </c>
      <c r="H37" s="2">
        <v>3.485567640807536</v>
      </c>
      <c r="I37" s="2">
        <v>0.99587646880215297</v>
      </c>
      <c r="P37">
        <f t="shared" si="3"/>
        <v>15.270105854966349</v>
      </c>
      <c r="Q37" s="41">
        <v>4.5</v>
      </c>
      <c r="R37" s="1">
        <f t="shared" si="4"/>
        <v>19.770105854966349</v>
      </c>
      <c r="S37">
        <v>22.92</v>
      </c>
      <c r="T37">
        <f t="shared" si="5"/>
        <v>1.1593261142930291</v>
      </c>
    </row>
    <row r="38" spans="1:20" x14ac:dyDescent="0.2">
      <c r="A38" s="2">
        <v>9</v>
      </c>
      <c r="B38" s="2">
        <v>1.0678708153970384</v>
      </c>
      <c r="C38" s="2">
        <v>1.0678708153970384</v>
      </c>
      <c r="D38" s="2">
        <v>1.0678708153970384</v>
      </c>
      <c r="E38" s="2">
        <v>2.1357416307940769</v>
      </c>
      <c r="F38" s="2">
        <v>3.5595693846567955</v>
      </c>
      <c r="G38" s="2">
        <v>2.6696770384925963</v>
      </c>
      <c r="H38" s="2">
        <v>3.7375478538896352</v>
      </c>
      <c r="I38" s="2">
        <v>1.0678708153970384</v>
      </c>
      <c r="P38">
        <f t="shared" si="3"/>
        <v>16.374019169421256</v>
      </c>
      <c r="Q38" s="41">
        <v>4.5</v>
      </c>
      <c r="R38" s="1">
        <f t="shared" si="4"/>
        <v>20.874019169421256</v>
      </c>
      <c r="S38">
        <v>22.646999999999998</v>
      </c>
      <c r="T38">
        <f t="shared" si="5"/>
        <v>1.0849372042915442</v>
      </c>
    </row>
    <row r="39" spans="1:20" x14ac:dyDescent="0.2">
      <c r="A39" s="2">
        <v>10</v>
      </c>
      <c r="B39" s="2">
        <v>1.0993804838761772</v>
      </c>
      <c r="C39" s="2">
        <v>1.0993804838761772</v>
      </c>
      <c r="D39" s="2">
        <v>1.0993804838761772</v>
      </c>
      <c r="E39" s="2">
        <v>2.1987609677523543</v>
      </c>
      <c r="F39" s="2">
        <v>3.6646016129205909</v>
      </c>
      <c r="G39" s="2">
        <v>2.748451209690443</v>
      </c>
      <c r="H39" s="2">
        <v>3.8478316935666204</v>
      </c>
      <c r="I39" s="2">
        <v>1.0993804838761772</v>
      </c>
      <c r="P39">
        <f t="shared" si="3"/>
        <v>16.857167419434717</v>
      </c>
      <c r="Q39" s="41">
        <v>4.5</v>
      </c>
      <c r="R39" s="1">
        <f t="shared" si="4"/>
        <v>21.357167419434717</v>
      </c>
      <c r="S39">
        <v>18.468</v>
      </c>
      <c r="T39">
        <f t="shared" si="5"/>
        <v>0.86472141353325649</v>
      </c>
    </row>
    <row r="40" spans="1:20" x14ac:dyDescent="0.2">
      <c r="A40" s="2">
        <v>11</v>
      </c>
      <c r="B40" s="2">
        <v>1.1169419757738892</v>
      </c>
      <c r="C40" s="2">
        <v>1.1169419757738892</v>
      </c>
      <c r="D40" s="2">
        <v>1.1169419757738892</v>
      </c>
      <c r="E40" s="2">
        <v>2.2338839515477784</v>
      </c>
      <c r="F40" s="2">
        <v>3.7231399192462979</v>
      </c>
      <c r="G40" s="2">
        <v>2.7923549394347229</v>
      </c>
      <c r="H40" s="2">
        <v>3.9092969152086128</v>
      </c>
      <c r="I40" s="2">
        <v>1.1169419757738892</v>
      </c>
      <c r="P40">
        <f t="shared" si="3"/>
        <v>17.126443628532972</v>
      </c>
      <c r="Q40" s="41">
        <v>4.5</v>
      </c>
      <c r="R40" s="1">
        <f t="shared" si="4"/>
        <v>21.626443628532972</v>
      </c>
      <c r="S40">
        <v>18.846</v>
      </c>
      <c r="T40">
        <f t="shared" si="5"/>
        <v>0.87143315487782846</v>
      </c>
    </row>
    <row r="41" spans="1:20" x14ac:dyDescent="0.2">
      <c r="A41" s="2">
        <v>12</v>
      </c>
      <c r="B41" s="2">
        <v>1.1324831192462983</v>
      </c>
      <c r="C41" s="2">
        <v>1.1324831192462983</v>
      </c>
      <c r="D41" s="2">
        <v>1.1324831192462983</v>
      </c>
      <c r="E41" s="2">
        <v>2.2649662384925966</v>
      </c>
      <c r="F41" s="2">
        <v>3.7749437308209948</v>
      </c>
      <c r="G41" s="2">
        <v>2.8312077981157455</v>
      </c>
      <c r="H41" s="2">
        <v>3.9636909173620443</v>
      </c>
      <c r="I41" s="2">
        <v>1.1324831192462983</v>
      </c>
      <c r="P41">
        <f t="shared" si="3"/>
        <v>17.364741161776575</v>
      </c>
      <c r="Q41" s="41">
        <v>4.5</v>
      </c>
      <c r="R41" s="1">
        <f t="shared" si="4"/>
        <v>21.864741161776575</v>
      </c>
      <c r="S41">
        <v>19.391999999999999</v>
      </c>
      <c r="T41">
        <f t="shared" si="5"/>
        <v>0.8869073663630026</v>
      </c>
    </row>
    <row r="42" spans="1:20" x14ac:dyDescent="0.2">
      <c r="A42" s="2">
        <v>13</v>
      </c>
      <c r="B42" s="2">
        <v>1.0449087763122471</v>
      </c>
      <c r="C42" s="2">
        <v>1.0449087763122471</v>
      </c>
      <c r="D42" s="2">
        <v>1.0449087763122471</v>
      </c>
      <c r="E42" s="2">
        <v>2.0898175526244942</v>
      </c>
      <c r="F42" s="2">
        <v>3.4830292543741579</v>
      </c>
      <c r="G42" s="2">
        <v>2.6122719407806181</v>
      </c>
      <c r="H42" s="2">
        <v>3.6571807170928654</v>
      </c>
      <c r="I42" s="2">
        <v>1.0449087763122471</v>
      </c>
      <c r="P42">
        <f t="shared" si="3"/>
        <v>16.021934570121122</v>
      </c>
      <c r="Q42" s="41">
        <v>4.5</v>
      </c>
      <c r="R42" s="1">
        <f t="shared" si="4"/>
        <v>20.521934570121122</v>
      </c>
      <c r="S42">
        <v>19.664999999999999</v>
      </c>
      <c r="T42">
        <f t="shared" si="5"/>
        <v>0.95824299277472724</v>
      </c>
    </row>
    <row r="43" spans="1:20" x14ac:dyDescent="0.2">
      <c r="A43" s="2">
        <v>14</v>
      </c>
      <c r="B43" s="2">
        <v>1.0330198013458947</v>
      </c>
      <c r="C43" s="2">
        <v>1.0330198013458947</v>
      </c>
      <c r="D43" s="2">
        <v>1.0330198013458947</v>
      </c>
      <c r="E43" s="2">
        <v>2.0660396026917893</v>
      </c>
      <c r="F43" s="2">
        <v>3.4433993378196495</v>
      </c>
      <c r="G43" s="2">
        <v>2.5825495033647368</v>
      </c>
      <c r="H43" s="2">
        <v>3.6155693047106316</v>
      </c>
      <c r="I43" s="2">
        <v>1.0330198013458947</v>
      </c>
      <c r="P43">
        <f t="shared" si="3"/>
        <v>15.839636953970384</v>
      </c>
      <c r="Q43" s="41">
        <v>4.5</v>
      </c>
      <c r="R43" s="1">
        <f t="shared" si="4"/>
        <v>20.339636953970384</v>
      </c>
      <c r="S43">
        <v>18.982500000000002</v>
      </c>
      <c r="T43">
        <f t="shared" si="5"/>
        <v>0.93327624494765316</v>
      </c>
    </row>
    <row r="44" spans="1:20" x14ac:dyDescent="0.2">
      <c r="A44" s="2">
        <v>15</v>
      </c>
      <c r="B44" s="2">
        <v>1.0470456833378192</v>
      </c>
      <c r="C44" s="2">
        <v>1.0470456833378192</v>
      </c>
      <c r="D44" s="2">
        <v>1.0470456833378192</v>
      </c>
      <c r="E44" s="2">
        <v>2.0940913666756384</v>
      </c>
      <c r="F44" s="2">
        <v>3.4901522777927312</v>
      </c>
      <c r="G44" s="2">
        <v>2.6176142083445479</v>
      </c>
      <c r="H44" s="2">
        <v>3.6646598916823678</v>
      </c>
      <c r="I44" s="2">
        <v>1.0470456833378192</v>
      </c>
      <c r="P44">
        <f t="shared" si="3"/>
        <v>16.054700477846563</v>
      </c>
      <c r="Q44" s="41">
        <v>4.5</v>
      </c>
      <c r="R44" s="1">
        <f t="shared" si="4"/>
        <v>20.554700477846563</v>
      </c>
      <c r="S44">
        <v>19.119</v>
      </c>
      <c r="T44">
        <f t="shared" si="5"/>
        <v>0.93015220633382945</v>
      </c>
    </row>
    <row r="45" spans="1:20" x14ac:dyDescent="0.2">
      <c r="A45" s="2">
        <v>16</v>
      </c>
      <c r="B45" s="2">
        <v>1.0576913665679673</v>
      </c>
      <c r="C45" s="2">
        <v>1.0576913665679673</v>
      </c>
      <c r="D45" s="2">
        <v>1.0576913665679673</v>
      </c>
      <c r="E45" s="2">
        <v>2.1153827331359345</v>
      </c>
      <c r="F45" s="2">
        <v>3.5256378885598916</v>
      </c>
      <c r="G45" s="2">
        <v>2.6442284164199181</v>
      </c>
      <c r="H45" s="2">
        <v>3.7019197829878858</v>
      </c>
      <c r="I45" s="2">
        <v>1.0576913665679673</v>
      </c>
      <c r="P45">
        <f t="shared" si="3"/>
        <v>16.217934287375499</v>
      </c>
      <c r="Q45" s="41">
        <v>4.5</v>
      </c>
      <c r="R45" s="1">
        <f t="shared" si="4"/>
        <v>20.717934287375499</v>
      </c>
      <c r="S45">
        <v>19.643999999999998</v>
      </c>
      <c r="T45">
        <f t="shared" si="5"/>
        <v>0.94816402675676481</v>
      </c>
    </row>
    <row r="46" spans="1:20" x14ac:dyDescent="0.2">
      <c r="A46" s="2">
        <v>17</v>
      </c>
      <c r="B46" s="2">
        <v>1.0735821858411838</v>
      </c>
      <c r="C46" s="2">
        <v>1.0735821858411838</v>
      </c>
      <c r="D46" s="2">
        <v>1.0735821858411838</v>
      </c>
      <c r="E46" s="2">
        <v>2.1471643716823676</v>
      </c>
      <c r="F46" s="2">
        <v>3.57860728613728</v>
      </c>
      <c r="G46" s="2">
        <v>2.6839554646029598</v>
      </c>
      <c r="H46" s="2">
        <v>3.757537650444144</v>
      </c>
      <c r="I46" s="2">
        <v>1.0735821858411838</v>
      </c>
      <c r="P46">
        <f t="shared" si="3"/>
        <v>16.461593516231488</v>
      </c>
      <c r="Q46" s="41">
        <v>4.5</v>
      </c>
      <c r="R46" s="1">
        <f t="shared" si="4"/>
        <v>20.961593516231488</v>
      </c>
      <c r="S46">
        <v>23.192999999999998</v>
      </c>
      <c r="T46">
        <f t="shared" si="5"/>
        <v>1.1064521398165952</v>
      </c>
    </row>
    <row r="47" spans="1:20" x14ac:dyDescent="0.2">
      <c r="A47" s="2">
        <v>18</v>
      </c>
      <c r="B47" s="2">
        <v>1.0932805850874827</v>
      </c>
      <c r="C47" s="2">
        <v>1.0932805850874827</v>
      </c>
      <c r="D47" s="2">
        <v>1.0932805850874827</v>
      </c>
      <c r="E47" s="2">
        <v>2.1865611701749654</v>
      </c>
      <c r="F47" s="2">
        <v>3.6442686169582768</v>
      </c>
      <c r="G47" s="2">
        <v>2.7332014627187071</v>
      </c>
      <c r="H47" s="2">
        <v>3.8264820478061905</v>
      </c>
      <c r="I47" s="2">
        <v>1.0932805850874827</v>
      </c>
      <c r="P47">
        <f t="shared" si="3"/>
        <v>16.763635638008072</v>
      </c>
      <c r="Q47" s="41">
        <v>4.5</v>
      </c>
      <c r="R47" s="1">
        <f t="shared" si="4"/>
        <v>21.263635638008072</v>
      </c>
      <c r="S47">
        <v>22.3215</v>
      </c>
      <c r="T47">
        <f t="shared" si="5"/>
        <v>1.0497499289397636</v>
      </c>
    </row>
    <row r="48" spans="1:20" x14ac:dyDescent="0.2">
      <c r="A48" s="2">
        <v>19</v>
      </c>
      <c r="B48" s="2">
        <v>1.1453045623687748</v>
      </c>
      <c r="C48" s="2">
        <v>1.1453045623687748</v>
      </c>
      <c r="D48" s="2">
        <v>1.1453045623687748</v>
      </c>
      <c r="E48" s="2">
        <v>2.2906091247375495</v>
      </c>
      <c r="F48" s="2">
        <v>3.8176818745625836</v>
      </c>
      <c r="G48" s="2">
        <v>2.863261405921937</v>
      </c>
      <c r="H48" s="2">
        <v>4.0085659682907124</v>
      </c>
      <c r="I48" s="2">
        <v>1.1453045623687748</v>
      </c>
      <c r="P48">
        <f t="shared" si="3"/>
        <v>17.561336622987881</v>
      </c>
      <c r="Q48" s="41">
        <v>4.5</v>
      </c>
      <c r="R48" s="1">
        <f t="shared" si="4"/>
        <v>22.061336622987881</v>
      </c>
      <c r="S48">
        <v>22.941000000000003</v>
      </c>
      <c r="T48">
        <f t="shared" si="5"/>
        <v>1.0398735304231528</v>
      </c>
    </row>
    <row r="49" spans="1:21" x14ac:dyDescent="0.2">
      <c r="A49" s="2">
        <v>20</v>
      </c>
      <c r="B49" s="2">
        <v>1.102954946648721</v>
      </c>
      <c r="C49" s="2">
        <v>1.102954946648721</v>
      </c>
      <c r="D49" s="2">
        <v>1.102954946648721</v>
      </c>
      <c r="E49" s="2">
        <v>2.2059098932974419</v>
      </c>
      <c r="F49" s="2">
        <v>3.6765164888290705</v>
      </c>
      <c r="G49" s="2">
        <v>2.7573873666218023</v>
      </c>
      <c r="H49" s="2">
        <v>3.8603423132705239</v>
      </c>
      <c r="I49" s="2">
        <v>1.102954946648721</v>
      </c>
      <c r="P49">
        <f t="shared" si="3"/>
        <v>16.911975848613725</v>
      </c>
      <c r="Q49" s="41">
        <v>4.5</v>
      </c>
      <c r="R49" s="1">
        <f t="shared" si="4"/>
        <v>21.411975848613725</v>
      </c>
      <c r="S49">
        <v>21.5823</v>
      </c>
      <c r="T49">
        <f t="shared" si="5"/>
        <v>1.0079546209369232</v>
      </c>
    </row>
    <row r="50" spans="1:21" x14ac:dyDescent="0.2">
      <c r="A50" s="2">
        <v>21</v>
      </c>
      <c r="B50" s="2">
        <v>1.0437820431763118</v>
      </c>
      <c r="C50" s="2">
        <v>1.0437820431763118</v>
      </c>
      <c r="D50" s="2">
        <v>1.0437820431763118</v>
      </c>
      <c r="E50" s="2">
        <v>2.0875640863526237</v>
      </c>
      <c r="F50" s="2">
        <v>3.4792734772543734</v>
      </c>
      <c r="G50" s="2">
        <v>2.6094551079407795</v>
      </c>
      <c r="H50" s="2">
        <v>3.6532371511170916</v>
      </c>
      <c r="I50" s="2">
        <v>1.0437820431763118</v>
      </c>
      <c r="P50">
        <f t="shared" si="3"/>
        <v>16.004657995370117</v>
      </c>
      <c r="Q50" s="41">
        <v>4.5</v>
      </c>
      <c r="R50" s="1">
        <f t="shared" si="4"/>
        <v>20.504657995370117</v>
      </c>
      <c r="S50">
        <v>22.374000000000002</v>
      </c>
      <c r="T50">
        <f t="shared" si="5"/>
        <v>1.0911667000274756</v>
      </c>
    </row>
    <row r="51" spans="1:21" x14ac:dyDescent="0.2">
      <c r="A51" s="2">
        <v>22</v>
      </c>
      <c r="B51" s="2">
        <v>0.9577618145895016</v>
      </c>
      <c r="C51" s="2">
        <v>0.9577618145895016</v>
      </c>
      <c r="D51" s="2">
        <v>0.9577618145895016</v>
      </c>
      <c r="E51" s="2">
        <v>1.9155236291790032</v>
      </c>
      <c r="F51" s="2">
        <v>3.1925393819650059</v>
      </c>
      <c r="G51" s="2">
        <v>2.3944045364737541</v>
      </c>
      <c r="H51" s="2">
        <v>3.3521663510632558</v>
      </c>
      <c r="I51" s="2">
        <v>0.9577618145895016</v>
      </c>
      <c r="P51">
        <f t="shared" si="3"/>
        <v>14.685681157039024</v>
      </c>
      <c r="Q51" s="41">
        <v>4.5</v>
      </c>
      <c r="R51" s="1">
        <f t="shared" si="4"/>
        <v>19.185681157039024</v>
      </c>
      <c r="S51">
        <v>23.192999999999998</v>
      </c>
      <c r="T51">
        <f t="shared" si="5"/>
        <v>1.2088702929106445</v>
      </c>
    </row>
    <row r="52" spans="1:21" x14ac:dyDescent="0.2">
      <c r="A52" s="2">
        <v>23</v>
      </c>
      <c r="B52" s="2">
        <v>0.94583398707940736</v>
      </c>
      <c r="C52" s="2">
        <v>0.94583398707940736</v>
      </c>
      <c r="D52" s="2">
        <v>0.94583398707940736</v>
      </c>
      <c r="E52" s="2">
        <v>1.8916679741588147</v>
      </c>
      <c r="F52" s="2">
        <v>3.1527799569313584</v>
      </c>
      <c r="G52" s="2">
        <v>2.3645849676985184</v>
      </c>
      <c r="H52" s="2">
        <v>3.3104189547779264</v>
      </c>
      <c r="I52" s="2">
        <v>0.94583398707940736</v>
      </c>
      <c r="P52">
        <f t="shared" si="3"/>
        <v>14.502787801884246</v>
      </c>
      <c r="Q52" s="41">
        <v>4.5</v>
      </c>
      <c r="R52" s="1">
        <f t="shared" si="4"/>
        <v>19.002787801884246</v>
      </c>
      <c r="S52">
        <v>23.466000000000001</v>
      </c>
      <c r="T52">
        <f t="shared" si="5"/>
        <v>1.2348714433191323</v>
      </c>
    </row>
    <row r="53" spans="1:21" x14ac:dyDescent="0.2">
      <c r="A53" s="2">
        <v>24</v>
      </c>
      <c r="B53" s="2">
        <v>0.96743617647375457</v>
      </c>
      <c r="C53" s="2">
        <v>0.96743617647375457</v>
      </c>
      <c r="D53" s="2">
        <v>0.96743617647375457</v>
      </c>
      <c r="E53" s="2">
        <v>1.9348723529475091</v>
      </c>
      <c r="F53" s="2">
        <v>3.2247872549125161</v>
      </c>
      <c r="G53" s="2">
        <v>2.4185904411843864</v>
      </c>
      <c r="H53" s="2">
        <v>3.3860266176581413</v>
      </c>
      <c r="I53" s="2">
        <v>0.96743617647375457</v>
      </c>
      <c r="P53">
        <f t="shared" si="3"/>
        <v>14.83402137259757</v>
      </c>
      <c r="Q53" s="41">
        <v>4.5</v>
      </c>
      <c r="R53" s="1">
        <f t="shared" si="4"/>
        <v>19.334021372597569</v>
      </c>
      <c r="S53">
        <v>23.791499999999999</v>
      </c>
      <c r="T53">
        <f t="shared" si="5"/>
        <v>1.2305510344433614</v>
      </c>
    </row>
    <row r="55" spans="1:21" ht="25.5" x14ac:dyDescent="0.35">
      <c r="A55" s="48" t="s">
        <v>228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</row>
    <row r="56" spans="1:21" x14ac:dyDescent="0.2">
      <c r="A56" s="2" t="s">
        <v>0</v>
      </c>
      <c r="B56" s="2" t="s">
        <v>17</v>
      </c>
      <c r="C56" s="2" t="s">
        <v>18</v>
      </c>
      <c r="D56" s="2" t="s">
        <v>19</v>
      </c>
      <c r="E56" s="2" t="s">
        <v>20</v>
      </c>
      <c r="F56" s="2" t="s">
        <v>21</v>
      </c>
      <c r="G56" s="2" t="s">
        <v>22</v>
      </c>
      <c r="P56" t="s">
        <v>221</v>
      </c>
      <c r="Q56" t="s">
        <v>222</v>
      </c>
      <c r="R56" t="s">
        <v>222</v>
      </c>
      <c r="S56" t="s">
        <v>223</v>
      </c>
      <c r="T56" t="s">
        <v>224</v>
      </c>
      <c r="U56" t="s">
        <v>225</v>
      </c>
    </row>
    <row r="57" spans="1:21" x14ac:dyDescent="0.2">
      <c r="A57" s="2">
        <v>1</v>
      </c>
      <c r="B57" s="2">
        <v>2.8796443617765806</v>
      </c>
      <c r="C57" s="2">
        <v>2.8796443617765806</v>
      </c>
      <c r="D57" s="2">
        <v>0.86389330853297408</v>
      </c>
      <c r="E57" s="2">
        <v>0.86389330853297408</v>
      </c>
      <c r="F57" s="2">
        <v>0.6479199813997305</v>
      </c>
      <c r="G57" s="2">
        <v>0.86389330853297408</v>
      </c>
      <c r="P57">
        <f>SUM(B57:G57)</f>
        <v>8.9988886305518143</v>
      </c>
      <c r="Q57" s="41">
        <v>6.5</v>
      </c>
      <c r="R57" s="1">
        <f>SUM(P57:Q57)</f>
        <v>15.498888630551814</v>
      </c>
      <c r="S57">
        <v>16.615500000000001</v>
      </c>
      <c r="T57">
        <f>S57/R57</f>
        <v>1.0720446088790581</v>
      </c>
      <c r="U57">
        <f>AVERAGE(T57:T80)</f>
        <v>0.92850632891735208</v>
      </c>
    </row>
    <row r="58" spans="1:21" x14ac:dyDescent="0.2">
      <c r="A58" s="2">
        <v>2</v>
      </c>
      <c r="B58" s="2">
        <v>2.956443512247644</v>
      </c>
      <c r="C58" s="2">
        <v>2.956443512247644</v>
      </c>
      <c r="D58" s="2">
        <v>0.88693305367429309</v>
      </c>
      <c r="E58" s="2">
        <v>0.88693305367429309</v>
      </c>
      <c r="F58" s="2">
        <v>0.66519979025571985</v>
      </c>
      <c r="G58" s="2">
        <v>0.88693305367429309</v>
      </c>
      <c r="P58">
        <f t="shared" ref="P58:P80" si="6">SUM(B58:G58)</f>
        <v>9.2388859757738881</v>
      </c>
      <c r="Q58" s="41">
        <v>6.5</v>
      </c>
      <c r="R58" s="1">
        <f t="shared" ref="R58:R80" si="7">SUM(P58:Q58)</f>
        <v>15.738885975773888</v>
      </c>
      <c r="S58">
        <v>16.752000000000002</v>
      </c>
      <c r="T58">
        <f t="shared" ref="T58:T80" si="8">S58/R58</f>
        <v>1.0643701228781728</v>
      </c>
    </row>
    <row r="59" spans="1:21" x14ac:dyDescent="0.2">
      <c r="A59" s="2">
        <v>3</v>
      </c>
      <c r="B59" s="2">
        <v>2.9494499973082089</v>
      </c>
      <c r="C59" s="2">
        <v>2.9494499973082089</v>
      </c>
      <c r="D59" s="2">
        <v>0.88483499919246256</v>
      </c>
      <c r="E59" s="2">
        <v>0.88483499919246256</v>
      </c>
      <c r="F59" s="2">
        <v>0.66362624939434689</v>
      </c>
      <c r="G59" s="2">
        <v>0.88483499919246256</v>
      </c>
      <c r="P59">
        <f t="shared" si="6"/>
        <v>9.2170312415881526</v>
      </c>
      <c r="Q59" s="41">
        <v>6.5</v>
      </c>
      <c r="R59" s="1">
        <f t="shared" si="7"/>
        <v>15.717031241588153</v>
      </c>
      <c r="S59">
        <v>16.646999999999998</v>
      </c>
      <c r="T59">
        <f t="shared" si="8"/>
        <v>1.0591694922607964</v>
      </c>
    </row>
    <row r="60" spans="1:21" x14ac:dyDescent="0.2">
      <c r="A60" s="2">
        <v>4</v>
      </c>
      <c r="B60" s="2">
        <v>2.9706895601615066</v>
      </c>
      <c r="C60" s="2">
        <v>2.9706895601615066</v>
      </c>
      <c r="D60" s="2">
        <v>0.89120686804845195</v>
      </c>
      <c r="E60" s="2">
        <v>0.89120686804845195</v>
      </c>
      <c r="F60" s="2">
        <v>0.66840515103633891</v>
      </c>
      <c r="G60" s="2">
        <v>0.89120686804845195</v>
      </c>
      <c r="P60">
        <f t="shared" si="6"/>
        <v>9.2834048755047078</v>
      </c>
      <c r="Q60" s="41">
        <v>6.5</v>
      </c>
      <c r="R60" s="1">
        <f t="shared" si="7"/>
        <v>15.783404875504708</v>
      </c>
      <c r="S60">
        <v>15.786</v>
      </c>
      <c r="T60">
        <f t="shared" si="8"/>
        <v>1.0001644210812408</v>
      </c>
    </row>
    <row r="61" spans="1:21" x14ac:dyDescent="0.2">
      <c r="A61" s="2">
        <v>5</v>
      </c>
      <c r="B61" s="2">
        <v>2.9949078417227453</v>
      </c>
      <c r="C61" s="2">
        <v>2.9949078417227453</v>
      </c>
      <c r="D61" s="2">
        <v>0.89847235251682334</v>
      </c>
      <c r="E61" s="2">
        <v>0.89847235251682334</v>
      </c>
      <c r="F61" s="2">
        <v>0.67385426438761753</v>
      </c>
      <c r="G61" s="2">
        <v>0.89847235251682334</v>
      </c>
      <c r="P61">
        <f t="shared" si="6"/>
        <v>9.3590870053835786</v>
      </c>
      <c r="Q61" s="41">
        <v>6.5</v>
      </c>
      <c r="R61" s="1">
        <f t="shared" si="7"/>
        <v>15.859087005383579</v>
      </c>
      <c r="S61">
        <v>16.353000000000002</v>
      </c>
      <c r="T61">
        <f t="shared" si="8"/>
        <v>1.0311438479685973</v>
      </c>
    </row>
    <row r="62" spans="1:21" x14ac:dyDescent="0.2">
      <c r="A62" s="2">
        <v>6</v>
      </c>
      <c r="B62" s="2">
        <v>3.0509854675639292</v>
      </c>
      <c r="C62" s="2">
        <v>3.0509854675639292</v>
      </c>
      <c r="D62" s="2">
        <v>0.91529564026917853</v>
      </c>
      <c r="E62" s="2">
        <v>0.91529564026917853</v>
      </c>
      <c r="F62" s="2">
        <v>0.6864717302018839</v>
      </c>
      <c r="G62" s="2">
        <v>0.91529564026917853</v>
      </c>
      <c r="P62">
        <f t="shared" si="6"/>
        <v>9.5343295861372788</v>
      </c>
      <c r="Q62" s="41">
        <v>6.5</v>
      </c>
      <c r="R62" s="1">
        <f t="shared" si="7"/>
        <v>16.034329586137279</v>
      </c>
      <c r="S62">
        <v>16.878</v>
      </c>
      <c r="T62">
        <f t="shared" si="8"/>
        <v>1.0526165069347289</v>
      </c>
    </row>
    <row r="63" spans="1:21" x14ac:dyDescent="0.2">
      <c r="A63" s="2">
        <v>7</v>
      </c>
      <c r="B63" s="2">
        <v>3.2210314777927311</v>
      </c>
      <c r="C63" s="2">
        <v>3.2210314777927311</v>
      </c>
      <c r="D63" s="2">
        <v>0.96630944333781921</v>
      </c>
      <c r="E63" s="2">
        <v>0.96630944333781921</v>
      </c>
      <c r="F63" s="2">
        <v>0.72473208250336441</v>
      </c>
      <c r="G63" s="2">
        <v>0.96630944333781921</v>
      </c>
      <c r="P63">
        <f t="shared" si="6"/>
        <v>10.065723368102283</v>
      </c>
      <c r="Q63" s="41">
        <v>6.5</v>
      </c>
      <c r="R63" s="1">
        <f t="shared" si="7"/>
        <v>16.565723368102283</v>
      </c>
      <c r="S63">
        <v>17.466000000000001</v>
      </c>
      <c r="T63">
        <f t="shared" si="8"/>
        <v>1.0543457482593983</v>
      </c>
    </row>
    <row r="64" spans="1:21" x14ac:dyDescent="0.2">
      <c r="A64" s="2">
        <v>8</v>
      </c>
      <c r="B64" s="2">
        <v>3.3195882293405106</v>
      </c>
      <c r="C64" s="2">
        <v>3.3195882293405106</v>
      </c>
      <c r="D64" s="2">
        <v>0.99587646880215297</v>
      </c>
      <c r="E64" s="2">
        <v>0.99587646880215297</v>
      </c>
      <c r="F64" s="2">
        <v>0.7469073516016147</v>
      </c>
      <c r="G64" s="2">
        <v>0.99587646880215297</v>
      </c>
      <c r="P64">
        <f t="shared" si="6"/>
        <v>10.373713216689096</v>
      </c>
      <c r="Q64" s="41">
        <v>6.5</v>
      </c>
      <c r="R64" s="1">
        <f t="shared" si="7"/>
        <v>16.873713216689097</v>
      </c>
      <c r="S64">
        <v>16.920000000000002</v>
      </c>
      <c r="T64">
        <f t="shared" si="8"/>
        <v>1.0027431296666298</v>
      </c>
    </row>
    <row r="65" spans="1:20" x14ac:dyDescent="0.2">
      <c r="A65" s="2">
        <v>9</v>
      </c>
      <c r="B65" s="2">
        <v>3.5595693846567955</v>
      </c>
      <c r="C65" s="2">
        <v>3.5595693846567955</v>
      </c>
      <c r="D65" s="2">
        <v>1.0678708153970384</v>
      </c>
      <c r="E65" s="2">
        <v>1.0678708153970384</v>
      </c>
      <c r="F65" s="2">
        <v>0.80090311154777893</v>
      </c>
      <c r="G65" s="2">
        <v>1.0678708153970384</v>
      </c>
      <c r="P65">
        <f t="shared" si="6"/>
        <v>11.123654327052485</v>
      </c>
      <c r="Q65" s="41">
        <v>6.5</v>
      </c>
      <c r="R65" s="1">
        <f t="shared" si="7"/>
        <v>17.623654327052485</v>
      </c>
      <c r="S65">
        <v>16.646999999999998</v>
      </c>
      <c r="T65">
        <f t="shared" si="8"/>
        <v>0.94458275741635989</v>
      </c>
    </row>
    <row r="66" spans="1:20" x14ac:dyDescent="0.2">
      <c r="A66" s="2">
        <v>10</v>
      </c>
      <c r="B66" s="2">
        <v>3.6646016129205909</v>
      </c>
      <c r="C66" s="2">
        <v>3.6646016129205909</v>
      </c>
      <c r="D66" s="2">
        <v>1.0993804838761772</v>
      </c>
      <c r="E66" s="2">
        <v>1.0993804838761772</v>
      </c>
      <c r="F66" s="2">
        <v>0.82453536290713281</v>
      </c>
      <c r="G66" s="2">
        <v>1.0993804838761772</v>
      </c>
      <c r="P66">
        <f t="shared" si="6"/>
        <v>11.451880040376844</v>
      </c>
      <c r="Q66" s="41">
        <v>6.5</v>
      </c>
      <c r="R66" s="1">
        <f t="shared" si="7"/>
        <v>17.951880040376842</v>
      </c>
      <c r="S66">
        <v>12.468</v>
      </c>
      <c r="T66">
        <f t="shared" si="8"/>
        <v>0.69452335755126149</v>
      </c>
    </row>
    <row r="67" spans="1:20" x14ac:dyDescent="0.2">
      <c r="A67" s="2">
        <v>11</v>
      </c>
      <c r="B67" s="2">
        <v>3.7231399192462979</v>
      </c>
      <c r="C67" s="2">
        <v>3.7231399192462979</v>
      </c>
      <c r="D67" s="2">
        <v>1.1169419757738892</v>
      </c>
      <c r="E67" s="2">
        <v>1.1169419757738892</v>
      </c>
      <c r="F67" s="2">
        <v>0.83770648183041696</v>
      </c>
      <c r="G67" s="2">
        <v>1.1169419757738892</v>
      </c>
      <c r="P67">
        <f t="shared" si="6"/>
        <v>11.63481224764468</v>
      </c>
      <c r="Q67" s="41">
        <v>6.5</v>
      </c>
      <c r="R67" s="1">
        <f t="shared" si="7"/>
        <v>18.134812247644682</v>
      </c>
      <c r="S67">
        <v>12.846</v>
      </c>
      <c r="T67">
        <f t="shared" si="8"/>
        <v>0.70836134527218042</v>
      </c>
    </row>
    <row r="68" spans="1:20" x14ac:dyDescent="0.2">
      <c r="A68" s="2">
        <v>12</v>
      </c>
      <c r="B68" s="2">
        <v>3.7749437308209948</v>
      </c>
      <c r="C68" s="2">
        <v>3.7749437308209948</v>
      </c>
      <c r="D68" s="2">
        <v>1.1324831192462983</v>
      </c>
      <c r="E68" s="2">
        <v>1.1324831192462983</v>
      </c>
      <c r="F68" s="2">
        <v>0.84936233943472372</v>
      </c>
      <c r="G68" s="2">
        <v>1.1324831192462983</v>
      </c>
      <c r="P68">
        <f t="shared" si="6"/>
        <v>11.796699158815608</v>
      </c>
      <c r="Q68" s="41">
        <v>6.5</v>
      </c>
      <c r="R68" s="1">
        <f t="shared" si="7"/>
        <v>18.296699158815606</v>
      </c>
      <c r="S68">
        <v>13.391999999999999</v>
      </c>
      <c r="T68">
        <f t="shared" si="8"/>
        <v>0.73193530066583323</v>
      </c>
    </row>
    <row r="69" spans="1:20" x14ac:dyDescent="0.2">
      <c r="A69" s="2">
        <v>13</v>
      </c>
      <c r="B69" s="2">
        <v>3.4830292543741579</v>
      </c>
      <c r="C69" s="2">
        <v>3.4830292543741579</v>
      </c>
      <c r="D69" s="2">
        <v>1.0449087763122471</v>
      </c>
      <c r="E69" s="2">
        <v>1.0449087763122471</v>
      </c>
      <c r="F69" s="2">
        <v>0.78368158223418538</v>
      </c>
      <c r="G69" s="2">
        <v>1.0449087763122471</v>
      </c>
      <c r="P69">
        <f t="shared" si="6"/>
        <v>10.884466419919244</v>
      </c>
      <c r="Q69" s="41">
        <v>6.5</v>
      </c>
      <c r="R69" s="1">
        <f t="shared" si="7"/>
        <v>17.384466419919242</v>
      </c>
      <c r="S69">
        <v>13.664999999999999</v>
      </c>
      <c r="T69">
        <f t="shared" si="8"/>
        <v>0.78604655845764393</v>
      </c>
    </row>
    <row r="70" spans="1:20" x14ac:dyDescent="0.2">
      <c r="A70" s="2">
        <v>14</v>
      </c>
      <c r="B70" s="2">
        <v>3.4433993378196495</v>
      </c>
      <c r="C70" s="2">
        <v>3.4433993378196495</v>
      </c>
      <c r="D70" s="2">
        <v>1.0330198013458947</v>
      </c>
      <c r="E70" s="2">
        <v>1.0330198013458947</v>
      </c>
      <c r="F70" s="2">
        <v>0.77476485100942094</v>
      </c>
      <c r="G70" s="2">
        <v>1.0330198013458947</v>
      </c>
      <c r="P70">
        <f t="shared" si="6"/>
        <v>10.760622930686402</v>
      </c>
      <c r="Q70" s="41">
        <v>6.5</v>
      </c>
      <c r="R70" s="1">
        <f t="shared" si="7"/>
        <v>17.260622930686402</v>
      </c>
      <c r="S70">
        <v>12.9825</v>
      </c>
      <c r="T70">
        <f t="shared" si="8"/>
        <v>0.75214550784950873</v>
      </c>
    </row>
    <row r="71" spans="1:20" x14ac:dyDescent="0.2">
      <c r="A71" s="2">
        <v>15</v>
      </c>
      <c r="B71" s="2">
        <v>3.4901522777927312</v>
      </c>
      <c r="C71" s="2">
        <v>3.4901522777927312</v>
      </c>
      <c r="D71" s="2">
        <v>1.0470456833378192</v>
      </c>
      <c r="E71" s="2">
        <v>1.0470456833378192</v>
      </c>
      <c r="F71" s="2">
        <v>0.78528426250336447</v>
      </c>
      <c r="G71" s="2">
        <v>1.0470456833378192</v>
      </c>
      <c r="P71">
        <f t="shared" si="6"/>
        <v>10.906725868102283</v>
      </c>
      <c r="Q71" s="41">
        <v>6.5</v>
      </c>
      <c r="R71" s="1">
        <f t="shared" si="7"/>
        <v>17.406725868102285</v>
      </c>
      <c r="S71">
        <v>13.119</v>
      </c>
      <c r="T71">
        <f t="shared" si="8"/>
        <v>0.75367418889732063</v>
      </c>
    </row>
    <row r="72" spans="1:20" x14ac:dyDescent="0.2">
      <c r="A72" s="2">
        <v>16</v>
      </c>
      <c r="B72" s="2">
        <v>3.5256378885598916</v>
      </c>
      <c r="C72" s="2">
        <v>3.5256378885598916</v>
      </c>
      <c r="D72" s="2">
        <v>1.0576913665679673</v>
      </c>
      <c r="E72" s="2">
        <v>1.0576913665679673</v>
      </c>
      <c r="F72" s="2">
        <v>0.79326852492597544</v>
      </c>
      <c r="G72" s="2">
        <v>1.0576913665679673</v>
      </c>
      <c r="P72">
        <f t="shared" si="6"/>
        <v>11.01761840174966</v>
      </c>
      <c r="Q72" s="41">
        <v>6.5</v>
      </c>
      <c r="R72" s="1">
        <f t="shared" si="7"/>
        <v>17.517618401749658</v>
      </c>
      <c r="S72">
        <v>13.644</v>
      </c>
      <c r="T72">
        <f t="shared" si="8"/>
        <v>0.77887300014693994</v>
      </c>
    </row>
    <row r="73" spans="1:20" x14ac:dyDescent="0.2">
      <c r="A73" s="2">
        <v>17</v>
      </c>
      <c r="B73" s="2">
        <v>3.57860728613728</v>
      </c>
      <c r="C73" s="2">
        <v>3.57860728613728</v>
      </c>
      <c r="D73" s="2">
        <v>1.0735821858411838</v>
      </c>
      <c r="E73" s="2">
        <v>1.0735821858411838</v>
      </c>
      <c r="F73" s="2">
        <v>0.80518663938088786</v>
      </c>
      <c r="G73" s="2">
        <v>1.0735821858411838</v>
      </c>
      <c r="P73">
        <f t="shared" si="6"/>
        <v>11.183147769179001</v>
      </c>
      <c r="Q73" s="41">
        <v>6.5</v>
      </c>
      <c r="R73" s="1">
        <f t="shared" si="7"/>
        <v>17.683147769179001</v>
      </c>
      <c r="S73">
        <v>17.192999999999998</v>
      </c>
      <c r="T73">
        <f t="shared" si="8"/>
        <v>0.97228164489846591</v>
      </c>
    </row>
    <row r="74" spans="1:20" x14ac:dyDescent="0.2">
      <c r="A74" s="2">
        <v>18</v>
      </c>
      <c r="B74" s="2">
        <v>3.6442686169582768</v>
      </c>
      <c r="C74" s="2">
        <v>3.6442686169582768</v>
      </c>
      <c r="D74" s="2">
        <v>1.0932805850874827</v>
      </c>
      <c r="E74" s="2">
        <v>1.0932805850874827</v>
      </c>
      <c r="F74" s="2">
        <v>0.81996043881561209</v>
      </c>
      <c r="G74" s="2">
        <v>1.0932805850874827</v>
      </c>
      <c r="P74">
        <f t="shared" si="6"/>
        <v>11.388339427994612</v>
      </c>
      <c r="Q74" s="41">
        <v>6.5</v>
      </c>
      <c r="R74" s="1">
        <f t="shared" si="7"/>
        <v>17.888339427994612</v>
      </c>
      <c r="S74">
        <v>16.3215</v>
      </c>
      <c r="T74">
        <f t="shared" si="8"/>
        <v>0.91241001243846231</v>
      </c>
    </row>
    <row r="75" spans="1:20" x14ac:dyDescent="0.2">
      <c r="A75" s="2">
        <v>19</v>
      </c>
      <c r="B75" s="2">
        <v>3.8176818745625836</v>
      </c>
      <c r="C75" s="2">
        <v>3.8176818745625836</v>
      </c>
      <c r="D75" s="2">
        <v>1.1453045623687748</v>
      </c>
      <c r="E75" s="2">
        <v>1.1453045623687748</v>
      </c>
      <c r="F75" s="2">
        <v>0.85897842177658112</v>
      </c>
      <c r="G75" s="2">
        <v>1.1453045623687748</v>
      </c>
      <c r="P75">
        <f t="shared" si="6"/>
        <v>11.930255858008072</v>
      </c>
      <c r="Q75" s="41">
        <v>6.5</v>
      </c>
      <c r="R75" s="1">
        <f t="shared" si="7"/>
        <v>18.430255858008074</v>
      </c>
      <c r="S75">
        <v>16.941000000000003</v>
      </c>
      <c r="T75">
        <f t="shared" si="8"/>
        <v>0.9191950524462752</v>
      </c>
    </row>
    <row r="76" spans="1:20" x14ac:dyDescent="0.2">
      <c r="A76" s="2">
        <v>20</v>
      </c>
      <c r="B76" s="2">
        <v>3.6765164888290705</v>
      </c>
      <c r="C76" s="2">
        <v>3.6765164888290705</v>
      </c>
      <c r="D76" s="2">
        <v>1.102954946648721</v>
      </c>
      <c r="E76" s="2">
        <v>1.102954946648721</v>
      </c>
      <c r="F76" s="2">
        <v>0.82721620998654077</v>
      </c>
      <c r="G76" s="2">
        <v>1.102954946648721</v>
      </c>
      <c r="P76">
        <f t="shared" si="6"/>
        <v>11.489114027590844</v>
      </c>
      <c r="Q76" s="41">
        <v>6.5</v>
      </c>
      <c r="R76" s="1">
        <f t="shared" si="7"/>
        <v>17.989114027590844</v>
      </c>
      <c r="S76">
        <v>15.5823</v>
      </c>
      <c r="T76">
        <f t="shared" si="8"/>
        <v>0.86620719486799691</v>
      </c>
    </row>
    <row r="77" spans="1:20" x14ac:dyDescent="0.2">
      <c r="A77" s="2">
        <v>21</v>
      </c>
      <c r="B77" s="2">
        <v>3.4792734772543734</v>
      </c>
      <c r="C77" s="2">
        <v>3.4792734772543734</v>
      </c>
      <c r="D77" s="2">
        <v>1.0437820431763118</v>
      </c>
      <c r="E77" s="2">
        <v>1.0437820431763118</v>
      </c>
      <c r="F77" s="2">
        <v>0.78283653238223383</v>
      </c>
      <c r="G77" s="2">
        <v>1.0437820431763118</v>
      </c>
      <c r="P77">
        <f t="shared" si="6"/>
        <v>10.872729616419917</v>
      </c>
      <c r="Q77" s="41">
        <v>6.5</v>
      </c>
      <c r="R77" s="1">
        <f t="shared" si="7"/>
        <v>17.372729616419917</v>
      </c>
      <c r="S77">
        <v>16.374000000000002</v>
      </c>
      <c r="T77">
        <f t="shared" si="8"/>
        <v>0.94251164678946242</v>
      </c>
    </row>
    <row r="78" spans="1:20" x14ac:dyDescent="0.2">
      <c r="A78" s="2">
        <v>22</v>
      </c>
      <c r="B78" s="2">
        <v>3.1925393819650059</v>
      </c>
      <c r="C78" s="2">
        <v>3.1925393819650059</v>
      </c>
      <c r="D78" s="2">
        <v>0.9577618145895016</v>
      </c>
      <c r="E78" s="2">
        <v>0.9577618145895016</v>
      </c>
      <c r="F78" s="2">
        <v>0.71832136094212617</v>
      </c>
      <c r="G78" s="2">
        <v>0.9577618145895016</v>
      </c>
      <c r="P78">
        <f t="shared" si="6"/>
        <v>9.9766855686406419</v>
      </c>
      <c r="Q78" s="41">
        <v>6.5</v>
      </c>
      <c r="R78" s="1">
        <f t="shared" si="7"/>
        <v>16.47668556864064</v>
      </c>
      <c r="S78">
        <v>17.192999999999998</v>
      </c>
      <c r="T78">
        <f t="shared" si="8"/>
        <v>1.0434744250216614</v>
      </c>
    </row>
    <row r="79" spans="1:20" x14ac:dyDescent="0.2">
      <c r="A79" s="2">
        <v>23</v>
      </c>
      <c r="B79" s="2">
        <v>3.1527799569313584</v>
      </c>
      <c r="C79" s="2">
        <v>3.1527799569313584</v>
      </c>
      <c r="D79" s="2">
        <v>0.94583398707940736</v>
      </c>
      <c r="E79" s="2">
        <v>0.94583398707940736</v>
      </c>
      <c r="F79" s="2">
        <v>0.70937549030955549</v>
      </c>
      <c r="G79" s="2">
        <v>0.94583398707940736</v>
      </c>
      <c r="P79">
        <f t="shared" si="6"/>
        <v>9.8524373654104949</v>
      </c>
      <c r="Q79" s="41">
        <v>6.5</v>
      </c>
      <c r="R79" s="1">
        <f t="shared" si="7"/>
        <v>16.352437365410495</v>
      </c>
      <c r="S79">
        <v>17.466000000000001</v>
      </c>
      <c r="T79">
        <f t="shared" si="8"/>
        <v>1.0680976547841712</v>
      </c>
    </row>
    <row r="80" spans="1:20" x14ac:dyDescent="0.2">
      <c r="A80" s="2">
        <v>24</v>
      </c>
      <c r="B80" s="2">
        <v>3.2247872549125161</v>
      </c>
      <c r="C80" s="2">
        <v>3.2247872549125161</v>
      </c>
      <c r="D80" s="2">
        <v>0.96743617647375457</v>
      </c>
      <c r="E80" s="2">
        <v>0.96743617647375457</v>
      </c>
      <c r="F80" s="2">
        <v>0.72557713235531596</v>
      </c>
      <c r="G80" s="2">
        <v>0.96743617647375457</v>
      </c>
      <c r="P80">
        <f t="shared" si="6"/>
        <v>10.077460171601611</v>
      </c>
      <c r="Q80" s="41">
        <v>6.5</v>
      </c>
      <c r="R80" s="1">
        <f t="shared" si="7"/>
        <v>16.577460171601611</v>
      </c>
      <c r="S80">
        <v>17.791499999999999</v>
      </c>
      <c r="T80">
        <f t="shared" si="8"/>
        <v>1.0732343685842856</v>
      </c>
    </row>
    <row r="82" spans="1:21" ht="25.5" x14ac:dyDescent="0.35">
      <c r="A82" s="48" t="s">
        <v>229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</row>
    <row r="83" spans="1:21" x14ac:dyDescent="0.2">
      <c r="A83" s="2" t="s">
        <v>0</v>
      </c>
      <c r="B83" s="2" t="s">
        <v>23</v>
      </c>
      <c r="C83" s="2" t="s">
        <v>24</v>
      </c>
      <c r="D83" s="2" t="s">
        <v>25</v>
      </c>
      <c r="E83" s="2" t="s">
        <v>26</v>
      </c>
      <c r="F83" s="2" t="s">
        <v>27</v>
      </c>
      <c r="G83" s="2" t="s">
        <v>28</v>
      </c>
      <c r="P83" t="s">
        <v>221</v>
      </c>
      <c r="Q83" t="s">
        <v>222</v>
      </c>
      <c r="R83" t="s">
        <v>222</v>
      </c>
      <c r="S83" t="s">
        <v>223</v>
      </c>
      <c r="T83" t="s">
        <v>224</v>
      </c>
      <c r="U83" t="s">
        <v>225</v>
      </c>
    </row>
    <row r="84" spans="1:21" x14ac:dyDescent="0.2">
      <c r="A84" s="2">
        <v>1</v>
      </c>
      <c r="B84" s="2">
        <v>0.86389330853297408</v>
      </c>
      <c r="C84" s="2">
        <v>1.7277866170659482</v>
      </c>
      <c r="D84" s="2">
        <v>0.86389330853297408</v>
      </c>
      <c r="E84" s="2">
        <v>0.86389330853297408</v>
      </c>
      <c r="F84" s="2">
        <v>0.86389330853297408</v>
      </c>
      <c r="G84" s="2">
        <v>1.295839962799461</v>
      </c>
      <c r="P84">
        <f t="shared" ref="P84:P107" si="9">SUM(B84:N84)</f>
        <v>6.4791998139973064</v>
      </c>
      <c r="Q84" s="41">
        <v>0</v>
      </c>
      <c r="R84" s="1">
        <f>SUM(P84:Q84)</f>
        <v>6.4791998139973064</v>
      </c>
      <c r="S84">
        <v>8</v>
      </c>
      <c r="T84">
        <f>S84/R84</f>
        <v>1.2347203712898684</v>
      </c>
      <c r="U84">
        <f>AVERAGE(T84:T107)</f>
        <v>1.0644782372866413</v>
      </c>
    </row>
    <row r="85" spans="1:21" x14ac:dyDescent="0.2">
      <c r="A85" s="2">
        <v>2</v>
      </c>
      <c r="B85" s="2">
        <v>0.88693305367429309</v>
      </c>
      <c r="C85" s="2">
        <v>1.7738661073485862</v>
      </c>
      <c r="D85" s="2">
        <v>0.88693305367429309</v>
      </c>
      <c r="E85" s="2">
        <v>0.88693305367429309</v>
      </c>
      <c r="F85" s="2">
        <v>0.88693305367429309</v>
      </c>
      <c r="G85" s="2">
        <v>1.3303995805114397</v>
      </c>
      <c r="P85">
        <f t="shared" si="9"/>
        <v>6.6519979025571985</v>
      </c>
      <c r="Q85" s="41">
        <v>0</v>
      </c>
      <c r="R85" s="1">
        <f t="shared" ref="R85:R107" si="10">SUM(P85:Q85)</f>
        <v>6.6519979025571985</v>
      </c>
      <c r="S85">
        <v>8</v>
      </c>
      <c r="T85">
        <f t="shared" ref="T85:T107" si="11">S85/R85</f>
        <v>1.2026462000122693</v>
      </c>
    </row>
    <row r="86" spans="1:21" x14ac:dyDescent="0.2">
      <c r="A86" s="2">
        <v>3</v>
      </c>
      <c r="B86" s="2">
        <v>0.88483499919246256</v>
      </c>
      <c r="C86" s="2">
        <v>1.7696699983849251</v>
      </c>
      <c r="D86" s="2">
        <v>0.88483499919246256</v>
      </c>
      <c r="E86" s="2">
        <v>0.88483499919246256</v>
      </c>
      <c r="F86" s="2">
        <v>0.88483499919246256</v>
      </c>
      <c r="G86" s="2">
        <v>1.3272524987886938</v>
      </c>
      <c r="P86">
        <f t="shared" si="9"/>
        <v>6.6362624939434687</v>
      </c>
      <c r="Q86" s="41">
        <v>0</v>
      </c>
      <c r="R86" s="1">
        <f t="shared" si="10"/>
        <v>6.6362624939434687</v>
      </c>
      <c r="S86">
        <v>8</v>
      </c>
      <c r="T86">
        <f t="shared" si="11"/>
        <v>1.2054978246115393</v>
      </c>
    </row>
    <row r="87" spans="1:21" x14ac:dyDescent="0.2">
      <c r="A87" s="2">
        <v>4</v>
      </c>
      <c r="B87" s="2">
        <v>0.89120686804845195</v>
      </c>
      <c r="C87" s="2">
        <v>1.7824137360969039</v>
      </c>
      <c r="D87" s="2">
        <v>0.89120686804845195</v>
      </c>
      <c r="E87" s="2">
        <v>0.89120686804845195</v>
      </c>
      <c r="F87" s="2">
        <v>0.89120686804845195</v>
      </c>
      <c r="G87" s="2">
        <v>1.3368103020726778</v>
      </c>
      <c r="P87">
        <f t="shared" si="9"/>
        <v>6.68405151036339</v>
      </c>
      <c r="Q87" s="41">
        <v>0</v>
      </c>
      <c r="R87" s="1">
        <f t="shared" si="10"/>
        <v>6.68405151036339</v>
      </c>
      <c r="S87">
        <v>8</v>
      </c>
      <c r="T87">
        <f t="shared" si="11"/>
        <v>1.1968788671954842</v>
      </c>
    </row>
    <row r="88" spans="1:21" x14ac:dyDescent="0.2">
      <c r="A88" s="2">
        <v>5</v>
      </c>
      <c r="B88" s="2">
        <v>0.89847235251682334</v>
      </c>
      <c r="C88" s="2">
        <v>1.7969447050336467</v>
      </c>
      <c r="D88" s="2">
        <v>0.89847235251682334</v>
      </c>
      <c r="E88" s="2">
        <v>0.89847235251682334</v>
      </c>
      <c r="F88" s="2">
        <v>0.89847235251682334</v>
      </c>
      <c r="G88" s="2">
        <v>1.3477085287752351</v>
      </c>
      <c r="P88">
        <f t="shared" si="9"/>
        <v>6.7385426438761753</v>
      </c>
      <c r="Q88" s="41">
        <v>0</v>
      </c>
      <c r="R88" s="1">
        <f t="shared" si="10"/>
        <v>6.7385426438761753</v>
      </c>
      <c r="S88">
        <v>8</v>
      </c>
      <c r="T88">
        <f t="shared" si="11"/>
        <v>1.187200322501514</v>
      </c>
    </row>
    <row r="89" spans="1:21" x14ac:dyDescent="0.2">
      <c r="A89" s="2">
        <v>6</v>
      </c>
      <c r="B89" s="2">
        <v>0.91529564026917853</v>
      </c>
      <c r="C89" s="2">
        <v>1.8305912805383571</v>
      </c>
      <c r="D89" s="2">
        <v>0.91529564026917853</v>
      </c>
      <c r="E89" s="2">
        <v>0.91529564026917853</v>
      </c>
      <c r="F89" s="2">
        <v>0.91529564026917853</v>
      </c>
      <c r="G89" s="2">
        <v>1.3729434604037678</v>
      </c>
      <c r="P89">
        <f t="shared" si="9"/>
        <v>6.864717302018839</v>
      </c>
      <c r="Q89" s="41">
        <v>0</v>
      </c>
      <c r="R89" s="1">
        <f t="shared" si="10"/>
        <v>6.864717302018839</v>
      </c>
      <c r="S89">
        <v>8</v>
      </c>
      <c r="T89">
        <f t="shared" si="11"/>
        <v>1.1653793809757158</v>
      </c>
    </row>
    <row r="90" spans="1:21" x14ac:dyDescent="0.2">
      <c r="A90" s="2">
        <v>7</v>
      </c>
      <c r="B90" s="2">
        <v>0.96630944333781921</v>
      </c>
      <c r="C90" s="2">
        <v>1.9326188866756384</v>
      </c>
      <c r="D90" s="2">
        <v>0.96630944333781921</v>
      </c>
      <c r="E90" s="2">
        <v>0.96630944333781921</v>
      </c>
      <c r="F90" s="2">
        <v>0.96630944333781921</v>
      </c>
      <c r="G90" s="2">
        <v>1.4494641650067288</v>
      </c>
      <c r="P90">
        <f t="shared" si="9"/>
        <v>7.2473208250336434</v>
      </c>
      <c r="Q90" s="41">
        <v>0</v>
      </c>
      <c r="R90" s="1">
        <f t="shared" si="10"/>
        <v>7.2473208250336434</v>
      </c>
      <c r="S90">
        <v>8</v>
      </c>
      <c r="T90">
        <f t="shared" si="11"/>
        <v>1.1038561963983238</v>
      </c>
    </row>
    <row r="91" spans="1:21" x14ac:dyDescent="0.2">
      <c r="A91" s="2">
        <v>8</v>
      </c>
      <c r="B91" s="2">
        <v>0.99587646880215297</v>
      </c>
      <c r="C91" s="2">
        <v>1.9917529376043059</v>
      </c>
      <c r="D91" s="2">
        <v>0.99587646880215297</v>
      </c>
      <c r="E91" s="2">
        <v>0.99587646880215297</v>
      </c>
      <c r="F91" s="2">
        <v>0.99587646880215297</v>
      </c>
      <c r="G91" s="2">
        <v>1.4938147032032294</v>
      </c>
      <c r="P91">
        <f t="shared" si="9"/>
        <v>7.469073516016147</v>
      </c>
      <c r="Q91" s="41">
        <v>0</v>
      </c>
      <c r="R91" s="1">
        <f t="shared" si="10"/>
        <v>7.469073516016147</v>
      </c>
      <c r="S91">
        <v>8</v>
      </c>
      <c r="T91">
        <f t="shared" si="11"/>
        <v>1.0710833121196857</v>
      </c>
    </row>
    <row r="92" spans="1:21" x14ac:dyDescent="0.2">
      <c r="A92" s="2">
        <v>9</v>
      </c>
      <c r="B92" s="2">
        <v>1.0678708153970384</v>
      </c>
      <c r="C92" s="2">
        <v>2.1357416307940769</v>
      </c>
      <c r="D92" s="2">
        <v>1.0678708153970384</v>
      </c>
      <c r="E92" s="2">
        <v>1.0678708153970384</v>
      </c>
      <c r="F92" s="2">
        <v>1.0678708153970384</v>
      </c>
      <c r="G92" s="2">
        <v>1.6018062230955579</v>
      </c>
      <c r="P92">
        <f t="shared" si="9"/>
        <v>8.0090311154777876</v>
      </c>
      <c r="Q92" s="41">
        <v>0</v>
      </c>
      <c r="R92" s="1">
        <f t="shared" si="10"/>
        <v>8.0090311154777876</v>
      </c>
      <c r="S92">
        <v>8</v>
      </c>
      <c r="T92">
        <f t="shared" si="11"/>
        <v>0.99887238351960772</v>
      </c>
    </row>
    <row r="93" spans="1:21" x14ac:dyDescent="0.2">
      <c r="A93" s="2">
        <v>10</v>
      </c>
      <c r="B93" s="2">
        <v>1.0993804838761772</v>
      </c>
      <c r="C93" s="2">
        <v>2.1987609677523543</v>
      </c>
      <c r="D93" s="2">
        <v>1.0993804838761772</v>
      </c>
      <c r="E93" s="2">
        <v>1.0993804838761772</v>
      </c>
      <c r="F93" s="2">
        <v>1.0993804838761772</v>
      </c>
      <c r="G93" s="2">
        <v>1.6490707258142656</v>
      </c>
      <c r="P93">
        <f t="shared" si="9"/>
        <v>8.2453536290713281</v>
      </c>
      <c r="Q93" s="41">
        <v>0</v>
      </c>
      <c r="R93" s="1">
        <f t="shared" si="10"/>
        <v>8.2453536290713281</v>
      </c>
      <c r="S93">
        <v>8</v>
      </c>
      <c r="T93">
        <f t="shared" si="11"/>
        <v>0.97024340736505654</v>
      </c>
    </row>
    <row r="94" spans="1:21" x14ac:dyDescent="0.2">
      <c r="A94" s="2">
        <v>11</v>
      </c>
      <c r="B94" s="2">
        <v>1.1169419757738892</v>
      </c>
      <c r="C94" s="2">
        <v>2.2338839515477784</v>
      </c>
      <c r="D94" s="2">
        <v>1.1169419757738892</v>
      </c>
      <c r="E94" s="2">
        <v>1.1169419757738892</v>
      </c>
      <c r="F94" s="2">
        <v>1.1169419757738892</v>
      </c>
      <c r="G94" s="2">
        <v>1.6754129636608339</v>
      </c>
      <c r="P94">
        <f t="shared" si="9"/>
        <v>8.3770648183041683</v>
      </c>
      <c r="Q94" s="41">
        <v>0</v>
      </c>
      <c r="R94" s="1">
        <f t="shared" si="10"/>
        <v>8.3770648183041683</v>
      </c>
      <c r="S94">
        <v>8</v>
      </c>
      <c r="T94">
        <f t="shared" si="11"/>
        <v>0.95498843252588084</v>
      </c>
    </row>
    <row r="95" spans="1:21" x14ac:dyDescent="0.2">
      <c r="A95" s="2">
        <v>12</v>
      </c>
      <c r="B95" s="2">
        <v>1.1324831192462983</v>
      </c>
      <c r="C95" s="2">
        <v>2.2649662384925966</v>
      </c>
      <c r="D95" s="2">
        <v>1.1324831192462983</v>
      </c>
      <c r="E95" s="2">
        <v>1.1324831192462983</v>
      </c>
      <c r="F95" s="2">
        <v>1.1324831192462983</v>
      </c>
      <c r="G95" s="2">
        <v>1.6987246788694474</v>
      </c>
      <c r="P95">
        <f t="shared" si="9"/>
        <v>8.4936233943472388</v>
      </c>
      <c r="Q95" s="41">
        <v>0</v>
      </c>
      <c r="R95" s="1">
        <f t="shared" si="10"/>
        <v>8.4936233943472388</v>
      </c>
      <c r="S95">
        <v>8</v>
      </c>
      <c r="T95">
        <f t="shared" si="11"/>
        <v>0.94188306080585582</v>
      </c>
    </row>
    <row r="96" spans="1:21" x14ac:dyDescent="0.2">
      <c r="A96" s="2">
        <v>13</v>
      </c>
      <c r="B96" s="2">
        <v>1.0449087763122471</v>
      </c>
      <c r="C96" s="2">
        <v>2.0898175526244942</v>
      </c>
      <c r="D96" s="2">
        <v>1.0449087763122471</v>
      </c>
      <c r="E96" s="2">
        <v>1.0449087763122471</v>
      </c>
      <c r="F96" s="2">
        <v>1.0449087763122471</v>
      </c>
      <c r="G96" s="2">
        <v>1.5673631644683708</v>
      </c>
      <c r="P96">
        <f t="shared" si="9"/>
        <v>7.8368158223418529</v>
      </c>
      <c r="Q96" s="41">
        <v>0</v>
      </c>
      <c r="R96" s="1">
        <f t="shared" si="10"/>
        <v>7.8368158223418529</v>
      </c>
      <c r="S96">
        <v>8</v>
      </c>
      <c r="T96">
        <f t="shared" si="11"/>
        <v>1.0208227654391122</v>
      </c>
    </row>
    <row r="97" spans="1:20" x14ac:dyDescent="0.2">
      <c r="A97" s="2">
        <v>14</v>
      </c>
      <c r="B97" s="2">
        <v>1.0330198013458947</v>
      </c>
      <c r="C97" s="2">
        <v>2.0660396026917893</v>
      </c>
      <c r="D97" s="2">
        <v>1.0330198013458947</v>
      </c>
      <c r="E97" s="2">
        <v>1.0330198013458947</v>
      </c>
      <c r="F97" s="2">
        <v>1.0330198013458947</v>
      </c>
      <c r="G97" s="2">
        <v>1.5495297020188419</v>
      </c>
      <c r="P97">
        <f t="shared" si="9"/>
        <v>7.7476485100942103</v>
      </c>
      <c r="Q97" s="41">
        <v>0</v>
      </c>
      <c r="R97" s="1">
        <f t="shared" si="10"/>
        <v>7.7476485100942103</v>
      </c>
      <c r="S97">
        <v>8</v>
      </c>
      <c r="T97">
        <f t="shared" si="11"/>
        <v>1.0325713653087136</v>
      </c>
    </row>
    <row r="98" spans="1:20" x14ac:dyDescent="0.2">
      <c r="A98" s="2">
        <v>15</v>
      </c>
      <c r="B98" s="2">
        <v>1.0470456833378192</v>
      </c>
      <c r="C98" s="2">
        <v>2.0940913666756384</v>
      </c>
      <c r="D98" s="2">
        <v>1.0470456833378192</v>
      </c>
      <c r="E98" s="2">
        <v>1.0470456833378192</v>
      </c>
      <c r="F98" s="2">
        <v>1.0470456833378192</v>
      </c>
      <c r="G98" s="2">
        <v>1.5705685250067289</v>
      </c>
      <c r="P98">
        <f t="shared" si="9"/>
        <v>7.8528426250336434</v>
      </c>
      <c r="Q98" s="41">
        <v>0</v>
      </c>
      <c r="R98" s="1">
        <f t="shared" si="10"/>
        <v>7.8528426250336434</v>
      </c>
      <c r="S98">
        <v>8</v>
      </c>
      <c r="T98">
        <f t="shared" si="11"/>
        <v>1.0187393765535606</v>
      </c>
    </row>
    <row r="99" spans="1:20" x14ac:dyDescent="0.2">
      <c r="A99" s="2">
        <v>16</v>
      </c>
      <c r="B99" s="2">
        <v>1.0576913665679673</v>
      </c>
      <c r="C99" s="2">
        <v>2.1153827331359345</v>
      </c>
      <c r="D99" s="2">
        <v>1.0576913665679673</v>
      </c>
      <c r="E99" s="2">
        <v>1.0576913665679673</v>
      </c>
      <c r="F99" s="2">
        <v>1.0576913665679673</v>
      </c>
      <c r="G99" s="2">
        <v>1.5865370498519509</v>
      </c>
      <c r="P99">
        <f t="shared" si="9"/>
        <v>7.9326852492597544</v>
      </c>
      <c r="Q99" s="41">
        <v>0</v>
      </c>
      <c r="R99" s="1">
        <f t="shared" si="10"/>
        <v>7.9326852492597544</v>
      </c>
      <c r="S99">
        <v>8</v>
      </c>
      <c r="T99">
        <f t="shared" si="11"/>
        <v>1.0084857458256682</v>
      </c>
    </row>
    <row r="100" spans="1:20" x14ac:dyDescent="0.2">
      <c r="A100" s="2">
        <v>17</v>
      </c>
      <c r="B100" s="2">
        <v>1.0735821858411838</v>
      </c>
      <c r="C100" s="2">
        <v>2.1471643716823676</v>
      </c>
      <c r="D100" s="2">
        <v>1.0735821858411838</v>
      </c>
      <c r="E100" s="2">
        <v>1.0735821858411838</v>
      </c>
      <c r="F100" s="2">
        <v>1.0735821858411838</v>
      </c>
      <c r="G100" s="2">
        <v>1.6103732787617757</v>
      </c>
      <c r="P100">
        <f t="shared" si="9"/>
        <v>8.0518663938088793</v>
      </c>
      <c r="Q100" s="41">
        <v>0</v>
      </c>
      <c r="R100" s="1">
        <f t="shared" si="10"/>
        <v>8.0518663938088793</v>
      </c>
      <c r="S100">
        <v>8</v>
      </c>
      <c r="T100">
        <f t="shared" si="11"/>
        <v>0.99355846318454077</v>
      </c>
    </row>
    <row r="101" spans="1:20" x14ac:dyDescent="0.2">
      <c r="A101" s="2">
        <v>18</v>
      </c>
      <c r="B101" s="2">
        <v>1.0932805850874827</v>
      </c>
      <c r="C101" s="2">
        <v>2.1865611701749654</v>
      </c>
      <c r="D101" s="2">
        <v>1.0932805850874827</v>
      </c>
      <c r="E101" s="2">
        <v>1.0932805850874827</v>
      </c>
      <c r="F101" s="2">
        <v>1.0932805850874827</v>
      </c>
      <c r="G101" s="2">
        <v>1.6399208776312242</v>
      </c>
      <c r="P101">
        <f t="shared" si="9"/>
        <v>8.1996043881561196</v>
      </c>
      <c r="Q101" s="41">
        <v>0</v>
      </c>
      <c r="R101" s="1">
        <f t="shared" si="10"/>
        <v>8.1996043881561196</v>
      </c>
      <c r="S101">
        <v>8</v>
      </c>
      <c r="T101">
        <f t="shared" si="11"/>
        <v>0.9756568269995517</v>
      </c>
    </row>
    <row r="102" spans="1:20" x14ac:dyDescent="0.2">
      <c r="A102" s="2">
        <v>19</v>
      </c>
      <c r="B102" s="2">
        <v>1.1453045623687748</v>
      </c>
      <c r="C102" s="2">
        <v>2.2906091247375495</v>
      </c>
      <c r="D102" s="2">
        <v>1.1453045623687748</v>
      </c>
      <c r="E102" s="2">
        <v>1.1453045623687748</v>
      </c>
      <c r="F102" s="2">
        <v>1.1453045623687748</v>
      </c>
      <c r="G102" s="2">
        <v>1.7179568435531622</v>
      </c>
      <c r="P102">
        <f t="shared" si="9"/>
        <v>8.5897842177658106</v>
      </c>
      <c r="Q102" s="41">
        <v>0</v>
      </c>
      <c r="R102" s="1">
        <f t="shared" si="10"/>
        <v>8.5897842177658106</v>
      </c>
      <c r="S102">
        <v>8</v>
      </c>
      <c r="T102">
        <f t="shared" si="11"/>
        <v>0.93133887850803165</v>
      </c>
    </row>
    <row r="103" spans="1:20" x14ac:dyDescent="0.2">
      <c r="A103" s="2">
        <v>20</v>
      </c>
      <c r="B103" s="2">
        <v>1.102954946648721</v>
      </c>
      <c r="C103" s="2">
        <v>2.2059098932974419</v>
      </c>
      <c r="D103" s="2">
        <v>1.102954946648721</v>
      </c>
      <c r="E103" s="2">
        <v>1.102954946648721</v>
      </c>
      <c r="F103" s="2">
        <v>1.102954946648721</v>
      </c>
      <c r="G103" s="2">
        <v>1.6544324199730815</v>
      </c>
      <c r="P103">
        <f t="shared" si="9"/>
        <v>8.2721620998654064</v>
      </c>
      <c r="Q103" s="41">
        <v>0</v>
      </c>
      <c r="R103" s="1">
        <f t="shared" si="10"/>
        <v>8.2721620998654064</v>
      </c>
      <c r="S103">
        <v>8</v>
      </c>
      <c r="T103">
        <f t="shared" si="11"/>
        <v>0.96709903691686183</v>
      </c>
    </row>
    <row r="104" spans="1:20" x14ac:dyDescent="0.2">
      <c r="A104" s="2">
        <v>21</v>
      </c>
      <c r="B104" s="2">
        <v>1.0437820431763118</v>
      </c>
      <c r="C104" s="2">
        <v>2.0875640863526237</v>
      </c>
      <c r="D104" s="2">
        <v>1.0437820431763118</v>
      </c>
      <c r="E104" s="2">
        <v>1.0437820431763118</v>
      </c>
      <c r="F104" s="2">
        <v>1.0437820431763118</v>
      </c>
      <c r="G104" s="2">
        <v>1.5656730647644677</v>
      </c>
      <c r="P104">
        <f t="shared" si="9"/>
        <v>7.8283653238223385</v>
      </c>
      <c r="Q104" s="41">
        <v>0</v>
      </c>
      <c r="R104" s="1">
        <f t="shared" si="10"/>
        <v>7.8283653238223385</v>
      </c>
      <c r="S104">
        <v>8</v>
      </c>
      <c r="T104">
        <f t="shared" si="11"/>
        <v>1.0219247146853716</v>
      </c>
    </row>
    <row r="105" spans="1:20" x14ac:dyDescent="0.2">
      <c r="A105" s="2">
        <v>22</v>
      </c>
      <c r="B105" s="2">
        <v>0.9577618145895016</v>
      </c>
      <c r="C105" s="2">
        <v>1.9155236291790032</v>
      </c>
      <c r="D105" s="2">
        <v>0.9577618145895016</v>
      </c>
      <c r="E105" s="2">
        <v>0.9577618145895016</v>
      </c>
      <c r="F105" s="2">
        <v>0.9577618145895016</v>
      </c>
      <c r="G105" s="2">
        <v>1.4366427218842523</v>
      </c>
      <c r="P105">
        <f t="shared" si="9"/>
        <v>7.1832136094212622</v>
      </c>
      <c r="Q105" s="41">
        <v>0</v>
      </c>
      <c r="R105" s="1">
        <f t="shared" si="10"/>
        <v>7.1832136094212622</v>
      </c>
      <c r="S105">
        <v>8</v>
      </c>
      <c r="T105">
        <f t="shared" si="11"/>
        <v>1.1137076571838918</v>
      </c>
    </row>
    <row r="106" spans="1:20" x14ac:dyDescent="0.2">
      <c r="A106" s="2">
        <v>23</v>
      </c>
      <c r="B106" s="2">
        <v>0.94583398707940736</v>
      </c>
      <c r="C106" s="2">
        <v>1.8916679741588147</v>
      </c>
      <c r="D106" s="2">
        <v>0.94583398707940736</v>
      </c>
      <c r="E106" s="2">
        <v>0.94583398707940736</v>
      </c>
      <c r="F106" s="2">
        <v>0.94583398707940736</v>
      </c>
      <c r="G106" s="2">
        <v>1.418750980619111</v>
      </c>
      <c r="P106">
        <f t="shared" si="9"/>
        <v>7.0937549030955545</v>
      </c>
      <c r="Q106" s="41">
        <v>0</v>
      </c>
      <c r="R106" s="1">
        <f t="shared" si="10"/>
        <v>7.0937549030955545</v>
      </c>
      <c r="S106">
        <v>8</v>
      </c>
      <c r="T106">
        <f t="shared" si="11"/>
        <v>1.1277525244788174</v>
      </c>
    </row>
    <row r="107" spans="1:20" x14ac:dyDescent="0.2">
      <c r="A107" s="2">
        <v>24</v>
      </c>
      <c r="B107" s="2">
        <v>0.96743617647375457</v>
      </c>
      <c r="C107" s="2">
        <v>1.9348723529475091</v>
      </c>
      <c r="D107" s="2">
        <v>0.96743617647375457</v>
      </c>
      <c r="E107" s="2">
        <v>0.96743617647375457</v>
      </c>
      <c r="F107" s="2">
        <v>0.96743617647375457</v>
      </c>
      <c r="G107" s="2">
        <v>1.4511542647106319</v>
      </c>
      <c r="P107">
        <f t="shared" si="9"/>
        <v>7.2557713235531596</v>
      </c>
      <c r="Q107" s="41">
        <v>0</v>
      </c>
      <c r="R107" s="1">
        <f t="shared" si="10"/>
        <v>7.2557713235531596</v>
      </c>
      <c r="S107">
        <v>8</v>
      </c>
      <c r="T107">
        <f t="shared" si="11"/>
        <v>1.1025705804744672</v>
      </c>
    </row>
  </sheetData>
  <mergeCells count="4">
    <mergeCell ref="A1:U1"/>
    <mergeCell ref="A28:U28"/>
    <mergeCell ref="A55:U55"/>
    <mergeCell ref="A82:U82"/>
  </mergeCells>
  <phoneticPr fontId="10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0A5B-D46B-43F9-B03C-6646BF71DF01}">
  <dimension ref="B1:M107"/>
  <sheetViews>
    <sheetView zoomScale="130" zoomScaleNormal="130" workbookViewId="0">
      <selection activeCell="G26" sqref="G26"/>
    </sheetView>
  </sheetViews>
  <sheetFormatPr defaultColWidth="9" defaultRowHeight="14.25" x14ac:dyDescent="0.2"/>
  <cols>
    <col min="1" max="16384" width="9" style="1"/>
  </cols>
  <sheetData>
    <row r="1" spans="2:13" x14ac:dyDescent="0.2">
      <c r="B1" s="1" t="s">
        <v>184</v>
      </c>
      <c r="F1" s="1" t="s">
        <v>185</v>
      </c>
      <c r="K1" s="1" t="s">
        <v>194</v>
      </c>
    </row>
    <row r="2" spans="2:13" x14ac:dyDescent="0.2">
      <c r="B2" s="1" t="s">
        <v>180</v>
      </c>
      <c r="C2" s="1" t="s">
        <v>187</v>
      </c>
      <c r="D2" s="1" t="s">
        <v>52</v>
      </c>
      <c r="F2" s="1" t="s">
        <v>186</v>
      </c>
      <c r="G2" s="1" t="s">
        <v>45</v>
      </c>
      <c r="H2" s="1" t="s">
        <v>55</v>
      </c>
      <c r="I2" s="1" t="s">
        <v>162</v>
      </c>
      <c r="M2" s="1" t="s">
        <v>49</v>
      </c>
    </row>
    <row r="3" spans="2:13" x14ac:dyDescent="0.2">
      <c r="B3" s="1">
        <v>26.744697008164717</v>
      </c>
      <c r="C3" s="1">
        <v>4</v>
      </c>
      <c r="D3" s="1">
        <v>9</v>
      </c>
      <c r="F3" s="1">
        <v>31.846500000000002</v>
      </c>
      <c r="G3" s="1">
        <v>12</v>
      </c>
      <c r="H3" s="1">
        <v>10</v>
      </c>
      <c r="I3" s="1">
        <v>3</v>
      </c>
      <c r="K3" s="1">
        <f>SUM(B3:D3)-SUM(F3:I3)</f>
        <v>-17.101802991835285</v>
      </c>
    </row>
    <row r="4" spans="2:13" x14ac:dyDescent="0.2">
      <c r="B4" s="1">
        <v>27.457969116365369</v>
      </c>
      <c r="C4" s="1">
        <v>4</v>
      </c>
      <c r="D4" s="1">
        <v>9</v>
      </c>
      <c r="F4" s="1">
        <v>32.256</v>
      </c>
      <c r="G4" s="1">
        <v>12</v>
      </c>
      <c r="H4" s="1">
        <v>10</v>
      </c>
      <c r="I4" s="1">
        <v>3</v>
      </c>
      <c r="K4" s="1">
        <f t="shared" ref="K4:K26" si="0">SUM(B4:D4)-SUM(F4:I4)</f>
        <v>-16.798030883634631</v>
      </c>
    </row>
    <row r="5" spans="2:13" x14ac:dyDescent="0.2">
      <c r="B5" s="1">
        <v>27.393016850188612</v>
      </c>
      <c r="C5" s="1">
        <v>4</v>
      </c>
      <c r="D5" s="1">
        <v>9</v>
      </c>
      <c r="F5" s="1">
        <v>31.941000000000003</v>
      </c>
      <c r="G5" s="1">
        <v>12</v>
      </c>
      <c r="H5" s="1">
        <v>10</v>
      </c>
      <c r="I5" s="1">
        <v>3</v>
      </c>
      <c r="K5" s="1">
        <f t="shared" si="0"/>
        <v>-16.547983149811387</v>
      </c>
    </row>
    <row r="6" spans="2:13" x14ac:dyDescent="0.2">
      <c r="B6" s="1">
        <v>27.590279288206997</v>
      </c>
      <c r="C6" s="1">
        <v>4</v>
      </c>
      <c r="D6" s="1">
        <v>9</v>
      </c>
      <c r="F6" s="1">
        <v>29.357999999999997</v>
      </c>
      <c r="G6" s="1">
        <v>12</v>
      </c>
      <c r="H6" s="1">
        <v>10</v>
      </c>
      <c r="I6" s="1">
        <v>3</v>
      </c>
      <c r="K6" s="1">
        <f t="shared" si="0"/>
        <v>-13.767720711792997</v>
      </c>
    </row>
    <row r="7" spans="2:13" x14ac:dyDescent="0.2">
      <c r="B7" s="1">
        <v>27.815206580337701</v>
      </c>
      <c r="C7" s="1">
        <v>4</v>
      </c>
      <c r="D7" s="1">
        <v>9</v>
      </c>
      <c r="F7" s="1">
        <v>31.058999999999997</v>
      </c>
      <c r="G7" s="1">
        <v>12</v>
      </c>
      <c r="H7" s="1">
        <v>10</v>
      </c>
      <c r="I7" s="1">
        <v>3</v>
      </c>
      <c r="K7" s="1">
        <f t="shared" si="0"/>
        <v>-15.243793419662296</v>
      </c>
    </row>
    <row r="8" spans="2:13" x14ac:dyDescent="0.2">
      <c r="B8" s="1">
        <v>28.336027529496015</v>
      </c>
      <c r="C8" s="1">
        <v>4</v>
      </c>
      <c r="D8" s="1">
        <v>9</v>
      </c>
      <c r="F8" s="1">
        <v>32.634</v>
      </c>
      <c r="G8" s="1">
        <v>12</v>
      </c>
      <c r="H8" s="1">
        <v>10</v>
      </c>
      <c r="I8" s="1">
        <v>3</v>
      </c>
      <c r="K8" s="1">
        <f t="shared" si="0"/>
        <v>-16.297972470503986</v>
      </c>
    </row>
    <row r="9" spans="2:13" x14ac:dyDescent="0.2">
      <c r="B9" s="1">
        <v>29.91532985338722</v>
      </c>
      <c r="C9" s="1">
        <v>4</v>
      </c>
      <c r="D9" s="1">
        <v>9</v>
      </c>
      <c r="F9" s="1">
        <v>34.397999999999996</v>
      </c>
      <c r="G9" s="1">
        <v>12</v>
      </c>
      <c r="H9" s="1">
        <v>10</v>
      </c>
      <c r="I9" s="1">
        <v>3</v>
      </c>
      <c r="K9" s="1">
        <f t="shared" si="0"/>
        <v>-16.482670146612776</v>
      </c>
    </row>
    <row r="10" spans="2:13" x14ac:dyDescent="0.2">
      <c r="B10" s="1">
        <v>30.830675678582335</v>
      </c>
      <c r="C10" s="1">
        <v>4</v>
      </c>
      <c r="D10" s="1">
        <v>9</v>
      </c>
      <c r="F10" s="1">
        <v>32.76</v>
      </c>
      <c r="G10" s="1">
        <v>12</v>
      </c>
      <c r="H10" s="1">
        <v>10</v>
      </c>
      <c r="I10" s="1">
        <v>3</v>
      </c>
      <c r="K10" s="1">
        <f t="shared" si="0"/>
        <v>-13.92932432141766</v>
      </c>
    </row>
    <row r="11" spans="2:13" x14ac:dyDescent="0.2">
      <c r="B11" s="1">
        <v>33.059500664241391</v>
      </c>
      <c r="C11" s="1">
        <v>4</v>
      </c>
      <c r="D11" s="1">
        <v>9</v>
      </c>
      <c r="F11" s="1">
        <v>31.941000000000003</v>
      </c>
      <c r="G11" s="1">
        <v>12</v>
      </c>
      <c r="H11" s="1">
        <v>10</v>
      </c>
      <c r="I11" s="1">
        <v>3</v>
      </c>
      <c r="K11" s="1">
        <f t="shared" si="0"/>
        <v>-10.881499335758612</v>
      </c>
    </row>
    <row r="12" spans="2:13" x14ac:dyDescent="0.2">
      <c r="B12" s="1">
        <v>34.034987476637241</v>
      </c>
      <c r="C12" s="1">
        <v>4</v>
      </c>
      <c r="D12" s="1">
        <v>9</v>
      </c>
      <c r="F12" s="1">
        <v>19.404</v>
      </c>
      <c r="G12" s="1">
        <v>12</v>
      </c>
      <c r="H12" s="1">
        <v>10</v>
      </c>
      <c r="I12" s="1">
        <v>3</v>
      </c>
      <c r="K12" s="1">
        <f t="shared" si="0"/>
        <v>2.6309874766372445</v>
      </c>
    </row>
    <row r="13" spans="2:13" x14ac:dyDescent="0.2">
      <c r="B13" s="1">
        <v>34.578662000931828</v>
      </c>
      <c r="C13" s="1">
        <v>4</v>
      </c>
      <c r="D13" s="1">
        <v>9</v>
      </c>
      <c r="F13" s="1">
        <v>20.538</v>
      </c>
      <c r="G13" s="1">
        <v>12</v>
      </c>
      <c r="H13" s="1">
        <v>10</v>
      </c>
      <c r="I13" s="1">
        <v>3</v>
      </c>
      <c r="K13" s="1">
        <f t="shared" si="0"/>
        <v>2.0406620009318317</v>
      </c>
    </row>
    <row r="14" spans="2:13" x14ac:dyDescent="0.2">
      <c r="B14" s="1">
        <v>35.059789898537645</v>
      </c>
      <c r="C14" s="1">
        <v>4</v>
      </c>
      <c r="D14" s="1">
        <v>9</v>
      </c>
      <c r="F14" s="1">
        <v>22.176000000000002</v>
      </c>
      <c r="G14" s="1">
        <v>12</v>
      </c>
      <c r="H14" s="1">
        <v>10</v>
      </c>
      <c r="I14" s="1">
        <v>3</v>
      </c>
      <c r="K14" s="1">
        <f t="shared" si="0"/>
        <v>0.88378989853764267</v>
      </c>
    </row>
    <row r="15" spans="2:13" x14ac:dyDescent="0.2">
      <c r="B15" s="1">
        <v>32.348634195528739</v>
      </c>
      <c r="C15" s="1">
        <v>4</v>
      </c>
      <c r="D15" s="1">
        <v>9</v>
      </c>
      <c r="F15" s="1">
        <v>22.995000000000001</v>
      </c>
      <c r="G15" s="1">
        <v>12</v>
      </c>
      <c r="H15" s="1">
        <v>10</v>
      </c>
      <c r="I15" s="1">
        <v>3</v>
      </c>
      <c r="K15" s="1">
        <f t="shared" si="0"/>
        <v>-2.6463658044712659</v>
      </c>
    </row>
    <row r="16" spans="2:13" x14ac:dyDescent="0.2">
      <c r="B16" s="1">
        <v>31.980571353860288</v>
      </c>
      <c r="C16" s="1">
        <v>4</v>
      </c>
      <c r="D16" s="1">
        <v>9</v>
      </c>
      <c r="F16" s="1">
        <v>20.947499999999998</v>
      </c>
      <c r="G16" s="1">
        <v>12</v>
      </c>
      <c r="H16" s="1">
        <v>10</v>
      </c>
      <c r="I16" s="1">
        <v>3</v>
      </c>
      <c r="K16" s="1">
        <f t="shared" si="0"/>
        <v>-0.96692864613971352</v>
      </c>
    </row>
    <row r="17" spans="2:11" x14ac:dyDescent="0.2">
      <c r="B17" s="1">
        <v>32.414789281449529</v>
      </c>
      <c r="C17" s="1">
        <v>4</v>
      </c>
      <c r="D17" s="1">
        <v>9</v>
      </c>
      <c r="F17" s="1">
        <v>21.356999999999999</v>
      </c>
      <c r="G17" s="1">
        <v>12</v>
      </c>
      <c r="H17" s="1">
        <v>10</v>
      </c>
      <c r="I17" s="1">
        <v>3</v>
      </c>
      <c r="K17" s="1">
        <f t="shared" si="0"/>
        <v>-0.94221071855047001</v>
      </c>
    </row>
    <row r="18" spans="2:11" x14ac:dyDescent="0.2">
      <c r="B18" s="1">
        <v>32.74436189130958</v>
      </c>
      <c r="C18" s="1">
        <v>4</v>
      </c>
      <c r="D18" s="1">
        <v>9</v>
      </c>
      <c r="F18" s="1">
        <v>22.932000000000002</v>
      </c>
      <c r="G18" s="1">
        <v>12</v>
      </c>
      <c r="H18" s="1">
        <v>10</v>
      </c>
      <c r="I18" s="1">
        <v>3</v>
      </c>
      <c r="K18" s="1">
        <f t="shared" si="0"/>
        <v>-2.1876381086904217</v>
      </c>
    </row>
    <row r="19" spans="2:11" x14ac:dyDescent="0.2">
      <c r="B19" s="1">
        <v>33.236315166611547</v>
      </c>
      <c r="C19" s="1">
        <v>4</v>
      </c>
      <c r="D19" s="1">
        <v>9</v>
      </c>
      <c r="F19" s="1">
        <v>33.579000000000001</v>
      </c>
      <c r="G19" s="1">
        <v>12</v>
      </c>
      <c r="H19" s="1">
        <v>10</v>
      </c>
      <c r="I19" s="1">
        <v>3</v>
      </c>
      <c r="K19" s="1">
        <f t="shared" si="0"/>
        <v>-12.342684833388454</v>
      </c>
    </row>
    <row r="20" spans="2:11" x14ac:dyDescent="0.2">
      <c r="B20" s="1">
        <v>33.846144776826939</v>
      </c>
      <c r="C20" s="1">
        <v>4</v>
      </c>
      <c r="D20" s="1">
        <v>9</v>
      </c>
      <c r="F20" s="1">
        <v>30.964500000000001</v>
      </c>
      <c r="G20" s="1">
        <v>12</v>
      </c>
      <c r="H20" s="1">
        <v>10</v>
      </c>
      <c r="I20" s="1">
        <v>3</v>
      </c>
      <c r="K20" s="1">
        <f t="shared" si="0"/>
        <v>-9.1183552231730616</v>
      </c>
    </row>
    <row r="21" spans="2:11" x14ac:dyDescent="0.2">
      <c r="B21" s="1">
        <v>35.456720414062481</v>
      </c>
      <c r="C21" s="1">
        <v>4</v>
      </c>
      <c r="D21" s="1">
        <v>9</v>
      </c>
      <c r="F21" s="1">
        <v>32.823</v>
      </c>
      <c r="G21" s="1">
        <v>12</v>
      </c>
      <c r="H21" s="1">
        <v>10</v>
      </c>
      <c r="I21" s="1">
        <v>3</v>
      </c>
      <c r="K21" s="1">
        <f t="shared" si="0"/>
        <v>-9.3662795859375194</v>
      </c>
    </row>
    <row r="22" spans="2:11" x14ac:dyDescent="0.2">
      <c r="B22" s="1">
        <v>34.1456468930866</v>
      </c>
      <c r="C22" s="1">
        <v>4</v>
      </c>
      <c r="D22" s="1">
        <v>9</v>
      </c>
      <c r="F22" s="1">
        <v>28.7469</v>
      </c>
      <c r="G22" s="1">
        <v>12</v>
      </c>
      <c r="H22" s="1">
        <v>10</v>
      </c>
      <c r="I22" s="1">
        <v>3</v>
      </c>
      <c r="K22" s="1">
        <f t="shared" si="0"/>
        <v>-6.6012531069133971</v>
      </c>
    </row>
    <row r="23" spans="2:11" x14ac:dyDescent="0.2">
      <c r="B23" s="1">
        <v>32.313752422952355</v>
      </c>
      <c r="C23" s="1">
        <v>4</v>
      </c>
      <c r="D23" s="1">
        <v>9</v>
      </c>
      <c r="F23" s="1">
        <v>31.122</v>
      </c>
      <c r="G23" s="1">
        <v>12</v>
      </c>
      <c r="H23" s="1">
        <v>10</v>
      </c>
      <c r="I23" s="1">
        <v>3</v>
      </c>
      <c r="K23" s="1">
        <f t="shared" si="0"/>
        <v>-10.808247577047645</v>
      </c>
    </row>
    <row r="24" spans="2:11" x14ac:dyDescent="0.2">
      <c r="B24" s="1">
        <v>29.650709509703969</v>
      </c>
      <c r="C24" s="1">
        <v>4</v>
      </c>
      <c r="D24" s="1">
        <v>9</v>
      </c>
      <c r="F24" s="1">
        <v>33.579000000000001</v>
      </c>
      <c r="G24" s="1">
        <v>12</v>
      </c>
      <c r="H24" s="1">
        <v>10</v>
      </c>
      <c r="I24" s="1">
        <v>3</v>
      </c>
      <c r="K24" s="1">
        <f t="shared" si="0"/>
        <v>-15.928290490296028</v>
      </c>
    </row>
    <row r="25" spans="2:11" x14ac:dyDescent="0.2">
      <c r="B25" s="1">
        <v>29.281443848291506</v>
      </c>
      <c r="C25" s="1">
        <v>4</v>
      </c>
      <c r="D25" s="1">
        <v>9</v>
      </c>
      <c r="F25" s="1">
        <v>34.397999999999996</v>
      </c>
      <c r="G25" s="1">
        <v>12</v>
      </c>
      <c r="H25" s="1">
        <v>10</v>
      </c>
      <c r="I25" s="1">
        <v>3</v>
      </c>
      <c r="K25" s="1">
        <f t="shared" si="0"/>
        <v>-17.116556151708494</v>
      </c>
    </row>
    <row r="26" spans="2:11" x14ac:dyDescent="0.2">
      <c r="B26" s="1">
        <v>29.950211625963654</v>
      </c>
      <c r="C26" s="1">
        <v>4</v>
      </c>
      <c r="D26" s="1">
        <v>9</v>
      </c>
      <c r="F26" s="1">
        <v>35.374499999999998</v>
      </c>
      <c r="G26" s="1">
        <v>12</v>
      </c>
      <c r="H26" s="1">
        <v>10</v>
      </c>
      <c r="I26" s="1">
        <v>3</v>
      </c>
      <c r="K26" s="1">
        <f t="shared" si="0"/>
        <v>-17.424288374036344</v>
      </c>
    </row>
    <row r="28" spans="2:11" x14ac:dyDescent="0.2">
      <c r="B28" s="1" t="s">
        <v>189</v>
      </c>
      <c r="D28" s="1" t="s">
        <v>188</v>
      </c>
      <c r="G28" s="1" t="s">
        <v>194</v>
      </c>
    </row>
    <row r="29" spans="2:11" x14ac:dyDescent="0.2">
      <c r="B29" s="1" t="s">
        <v>181</v>
      </c>
      <c r="D29" s="1" t="s">
        <v>45</v>
      </c>
      <c r="E29" s="1" t="s">
        <v>55</v>
      </c>
    </row>
    <row r="30" spans="2:11" x14ac:dyDescent="0.2">
      <c r="B30" s="1">
        <v>11.097042204673825</v>
      </c>
      <c r="D30" s="1">
        <v>9</v>
      </c>
      <c r="E30" s="1">
        <v>9</v>
      </c>
      <c r="G30" s="1">
        <f>B30-D30-E30</f>
        <v>-6.9029577953261754</v>
      </c>
    </row>
    <row r="31" spans="2:11" x14ac:dyDescent="0.2">
      <c r="B31" s="1">
        <v>11.392996602127006</v>
      </c>
      <c r="D31" s="1">
        <v>9</v>
      </c>
      <c r="E31" s="1">
        <v>9</v>
      </c>
      <c r="G31" s="1">
        <f t="shared" ref="G31:G53" si="1">B31-D31-E31</f>
        <v>-6.6070033978729938</v>
      </c>
    </row>
    <row r="32" spans="2:11" x14ac:dyDescent="0.2">
      <c r="B32" s="1">
        <v>11.366046286001426</v>
      </c>
      <c r="D32" s="1">
        <v>9</v>
      </c>
      <c r="E32" s="1">
        <v>9</v>
      </c>
      <c r="G32" s="1">
        <f t="shared" si="1"/>
        <v>-6.633953713998574</v>
      </c>
    </row>
    <row r="33" spans="2:7" x14ac:dyDescent="0.2">
      <c r="B33" s="1">
        <v>11.447895394234678</v>
      </c>
      <c r="D33" s="1">
        <v>9</v>
      </c>
      <c r="E33" s="1">
        <v>9</v>
      </c>
      <c r="G33" s="1">
        <f t="shared" si="1"/>
        <v>-6.5521046057653223</v>
      </c>
    </row>
    <row r="34" spans="2:7" x14ac:dyDescent="0.2">
      <c r="B34" s="1">
        <v>11.541223340817732</v>
      </c>
      <c r="D34" s="1">
        <v>9</v>
      </c>
      <c r="E34" s="1">
        <v>9</v>
      </c>
      <c r="G34" s="1">
        <f t="shared" si="1"/>
        <v>-6.4587766591822682</v>
      </c>
    </row>
    <row r="35" spans="2:7" x14ac:dyDescent="0.2">
      <c r="B35" s="1">
        <v>11.757324949750659</v>
      </c>
      <c r="D35" s="1">
        <v>9</v>
      </c>
      <c r="E35" s="1">
        <v>9</v>
      </c>
      <c r="G35" s="1">
        <f t="shared" si="1"/>
        <v>-6.2426750502493409</v>
      </c>
    </row>
    <row r="36" spans="2:7" x14ac:dyDescent="0.2">
      <c r="B36" s="1">
        <v>12.412616895544977</v>
      </c>
      <c r="D36" s="1">
        <v>9</v>
      </c>
      <c r="E36" s="1">
        <v>9</v>
      </c>
      <c r="G36" s="1">
        <f t="shared" si="1"/>
        <v>-5.5873831044550233</v>
      </c>
    </row>
    <row r="37" spans="2:7" x14ac:dyDescent="0.2">
      <c r="B37" s="1">
        <v>12.792416720944432</v>
      </c>
      <c r="D37" s="1">
        <v>9</v>
      </c>
      <c r="E37" s="1">
        <v>9</v>
      </c>
      <c r="G37" s="1">
        <f t="shared" si="1"/>
        <v>-5.2075832790555676</v>
      </c>
    </row>
    <row r="38" spans="2:7" x14ac:dyDescent="0.2">
      <c r="B38" s="1">
        <v>13.717211827994612</v>
      </c>
      <c r="D38" s="1">
        <v>9</v>
      </c>
      <c r="E38" s="1">
        <v>9</v>
      </c>
      <c r="G38" s="1">
        <f t="shared" si="1"/>
        <v>-4.2827881720053878</v>
      </c>
    </row>
    <row r="39" spans="2:7" x14ac:dyDescent="0.2">
      <c r="B39" s="1">
        <v>14.121965649806629</v>
      </c>
      <c r="D39" s="1">
        <v>9</v>
      </c>
      <c r="E39" s="1">
        <v>9</v>
      </c>
      <c r="G39" s="1">
        <f t="shared" si="1"/>
        <v>-3.8780343501933707</v>
      </c>
    </row>
    <row r="40" spans="2:7" x14ac:dyDescent="0.2">
      <c r="B40" s="1">
        <v>14.347549777376358</v>
      </c>
      <c r="D40" s="1">
        <v>9</v>
      </c>
      <c r="E40" s="1">
        <v>9</v>
      </c>
      <c r="G40" s="1">
        <f t="shared" si="1"/>
        <v>-3.6524502226236422</v>
      </c>
    </row>
    <row r="41" spans="2:7" x14ac:dyDescent="0.2">
      <c r="B41" s="1">
        <v>14.547181748676984</v>
      </c>
      <c r="D41" s="1">
        <v>9</v>
      </c>
      <c r="E41" s="1">
        <v>9</v>
      </c>
      <c r="G41" s="1">
        <f t="shared" si="1"/>
        <v>-3.4528182513230163</v>
      </c>
    </row>
    <row r="42" spans="2:7" x14ac:dyDescent="0.2">
      <c r="B42" s="1">
        <v>13.422255590397924</v>
      </c>
      <c r="D42" s="1">
        <v>9</v>
      </c>
      <c r="E42" s="1">
        <v>9</v>
      </c>
      <c r="G42" s="1">
        <f t="shared" si="1"/>
        <v>-4.5777444096020758</v>
      </c>
    </row>
    <row r="43" spans="2:7" x14ac:dyDescent="0.2">
      <c r="B43" s="1">
        <v>13.269537132352943</v>
      </c>
      <c r="D43" s="1">
        <v>9</v>
      </c>
      <c r="E43" s="1">
        <v>9</v>
      </c>
      <c r="G43" s="1">
        <f t="shared" si="1"/>
        <v>-4.7304628676470575</v>
      </c>
    </row>
    <row r="44" spans="2:7" x14ac:dyDescent="0.2">
      <c r="B44" s="1">
        <v>13.449704986451767</v>
      </c>
      <c r="D44" s="1">
        <v>9</v>
      </c>
      <c r="E44" s="1">
        <v>9</v>
      </c>
      <c r="G44" s="1">
        <f t="shared" si="1"/>
        <v>-4.550295013548233</v>
      </c>
    </row>
    <row r="45" spans="2:7" x14ac:dyDescent="0.2">
      <c r="B45" s="1">
        <v>13.586452886792705</v>
      </c>
      <c r="D45" s="1">
        <v>9</v>
      </c>
      <c r="E45" s="1">
        <v>9</v>
      </c>
      <c r="G45" s="1">
        <f t="shared" si="1"/>
        <v>-4.4135471132072954</v>
      </c>
    </row>
    <row r="46" spans="2:7" x14ac:dyDescent="0.2">
      <c r="B46" s="1">
        <v>13.790576577447579</v>
      </c>
      <c r="D46" s="1">
        <v>9</v>
      </c>
      <c r="E46" s="1">
        <v>9</v>
      </c>
      <c r="G46" s="1">
        <f t="shared" si="1"/>
        <v>-4.2094234225524207</v>
      </c>
    </row>
    <row r="47" spans="2:7" x14ac:dyDescent="0.2">
      <c r="B47" s="1">
        <v>14.043610101071136</v>
      </c>
      <c r="D47" s="1">
        <v>9</v>
      </c>
      <c r="E47" s="1">
        <v>9</v>
      </c>
      <c r="G47" s="1">
        <f t="shared" si="1"/>
        <v>-3.9563898989288635</v>
      </c>
    </row>
    <row r="48" spans="2:7" x14ac:dyDescent="0.2">
      <c r="B48" s="1">
        <v>14.711878124999997</v>
      </c>
      <c r="D48" s="1">
        <v>9</v>
      </c>
      <c r="E48" s="1">
        <v>9</v>
      </c>
      <c r="G48" s="1">
        <f t="shared" si="1"/>
        <v>-3.2881218750000034</v>
      </c>
    </row>
    <row r="49" spans="2:7" x14ac:dyDescent="0.2">
      <c r="B49" s="1">
        <v>14.167881003205787</v>
      </c>
      <c r="D49" s="1">
        <v>9</v>
      </c>
      <c r="E49" s="1">
        <v>9</v>
      </c>
      <c r="G49" s="1">
        <f t="shared" si="1"/>
        <v>-3.8321189967942129</v>
      </c>
    </row>
    <row r="50" spans="2:7" x14ac:dyDescent="0.2">
      <c r="B50" s="1">
        <v>13.407782272478626</v>
      </c>
      <c r="D50" s="1">
        <v>9</v>
      </c>
      <c r="E50" s="1">
        <v>9</v>
      </c>
      <c r="G50" s="1">
        <f t="shared" si="1"/>
        <v>-4.5922177275213745</v>
      </c>
    </row>
    <row r="51" spans="2:7" x14ac:dyDescent="0.2">
      <c r="B51" s="1">
        <v>12.302819311329639</v>
      </c>
      <c r="D51" s="1">
        <v>9</v>
      </c>
      <c r="E51" s="1">
        <v>9</v>
      </c>
      <c r="G51" s="1">
        <f t="shared" si="1"/>
        <v>-5.6971806886703611</v>
      </c>
    </row>
    <row r="52" spans="2:7" x14ac:dyDescent="0.2">
      <c r="B52" s="1">
        <v>12.149601773356398</v>
      </c>
      <c r="D52" s="1">
        <v>9</v>
      </c>
      <c r="E52" s="1">
        <v>9</v>
      </c>
      <c r="G52" s="1">
        <f t="shared" si="1"/>
        <v>-5.8503982266436019</v>
      </c>
    </row>
    <row r="53" spans="2:7" x14ac:dyDescent="0.2">
      <c r="B53" s="1">
        <v>12.427090213464279</v>
      </c>
      <c r="D53" s="1">
        <v>9</v>
      </c>
      <c r="E53" s="1">
        <v>9</v>
      </c>
      <c r="G53" s="1">
        <f t="shared" si="1"/>
        <v>-5.5729097865357211</v>
      </c>
    </row>
    <row r="55" spans="2:7" x14ac:dyDescent="0.2">
      <c r="B55" s="1" t="s">
        <v>191</v>
      </c>
      <c r="F55" s="1" t="s">
        <v>190</v>
      </c>
    </row>
    <row r="56" spans="2:7" x14ac:dyDescent="0.2">
      <c r="B56" s="1" t="s">
        <v>182</v>
      </c>
      <c r="C56" s="1" t="s">
        <v>55</v>
      </c>
      <c r="D56" s="1" t="s">
        <v>45</v>
      </c>
      <c r="F56" s="1" t="s">
        <v>198</v>
      </c>
    </row>
    <row r="57" spans="2:7" x14ac:dyDescent="0.2">
      <c r="B57" s="1">
        <v>45.18</v>
      </c>
      <c r="C57" s="1">
        <v>2941.1764705882351</v>
      </c>
      <c r="D57" s="1">
        <v>1538.4615384615383</v>
      </c>
      <c r="F57" s="1">
        <f>SUM(B57:D57)</f>
        <v>4524.8180090497735</v>
      </c>
      <c r="G57" s="1">
        <f>F57*0.5</f>
        <v>2262.4090045248868</v>
      </c>
    </row>
    <row r="58" spans="2:7" x14ac:dyDescent="0.2">
      <c r="B58" s="1">
        <v>45.36</v>
      </c>
      <c r="C58" s="1">
        <v>2941.1764705882351</v>
      </c>
      <c r="D58" s="1">
        <v>1538.4615384615383</v>
      </c>
      <c r="F58" s="1">
        <f t="shared" ref="F58:F80" si="2">SUM(B58:D58)</f>
        <v>4524.9980090497738</v>
      </c>
      <c r="G58" s="1">
        <f t="shared" ref="G58:G80" si="3">F58*0.5</f>
        <v>2262.4990045248869</v>
      </c>
    </row>
    <row r="59" spans="2:7" x14ac:dyDescent="0.2">
      <c r="B59" s="1">
        <v>50.400000000000006</v>
      </c>
      <c r="C59" s="1">
        <v>2941.1764705882351</v>
      </c>
      <c r="D59" s="1">
        <v>1538.4615384615383</v>
      </c>
      <c r="F59" s="1">
        <f t="shared" si="2"/>
        <v>4530.0380090497738</v>
      </c>
      <c r="G59" s="1">
        <f t="shared" si="3"/>
        <v>2265.0190045248869</v>
      </c>
    </row>
    <row r="60" spans="2:7" x14ac:dyDescent="0.2">
      <c r="B60" s="1">
        <v>72</v>
      </c>
      <c r="C60" s="1">
        <v>2941.1764705882351</v>
      </c>
      <c r="D60" s="1">
        <v>1538.4615384615383</v>
      </c>
      <c r="F60" s="1">
        <f t="shared" si="2"/>
        <v>4551.6380090497732</v>
      </c>
      <c r="G60" s="1">
        <f t="shared" si="3"/>
        <v>2275.8190045248866</v>
      </c>
    </row>
    <row r="61" spans="2:7" x14ac:dyDescent="0.2">
      <c r="B61" s="1">
        <v>106.19999999999999</v>
      </c>
      <c r="C61" s="1">
        <v>2941.1764705882351</v>
      </c>
      <c r="D61" s="1">
        <v>1538.4615384615383</v>
      </c>
      <c r="F61" s="1">
        <f t="shared" si="2"/>
        <v>4585.8380090497731</v>
      </c>
      <c r="G61" s="1">
        <f t="shared" si="3"/>
        <v>2292.9190045248865</v>
      </c>
    </row>
    <row r="62" spans="2:7" x14ac:dyDescent="0.2">
      <c r="B62" s="1">
        <v>108</v>
      </c>
      <c r="C62" s="1">
        <v>2941.1764705882351</v>
      </c>
      <c r="D62" s="1">
        <v>1538.4615384615383</v>
      </c>
      <c r="F62" s="1">
        <f t="shared" si="2"/>
        <v>4587.6380090497732</v>
      </c>
      <c r="G62" s="1">
        <f t="shared" si="3"/>
        <v>2293.8190045248866</v>
      </c>
    </row>
    <row r="63" spans="2:7" x14ac:dyDescent="0.2">
      <c r="B63" s="1">
        <v>124.19999999999999</v>
      </c>
      <c r="C63" s="1">
        <v>2941.1764705882351</v>
      </c>
      <c r="D63" s="1">
        <v>1538.4615384615383</v>
      </c>
      <c r="F63" s="1">
        <f t="shared" si="2"/>
        <v>4603.8380090497731</v>
      </c>
      <c r="G63" s="1">
        <f t="shared" si="3"/>
        <v>2301.9190045248865</v>
      </c>
    </row>
    <row r="64" spans="2:7" x14ac:dyDescent="0.2">
      <c r="B64" s="1">
        <v>118.80000000000001</v>
      </c>
      <c r="C64" s="1">
        <v>2941.1764705882351</v>
      </c>
      <c r="D64" s="1">
        <v>1538.4615384615383</v>
      </c>
      <c r="F64" s="1">
        <f t="shared" si="2"/>
        <v>4598.4380090497734</v>
      </c>
      <c r="G64" s="1">
        <f t="shared" si="3"/>
        <v>2299.2190045248867</v>
      </c>
    </row>
    <row r="65" spans="2:7" x14ac:dyDescent="0.2">
      <c r="B65" s="1">
        <v>99</v>
      </c>
      <c r="C65" s="1">
        <v>2941.1764705882351</v>
      </c>
      <c r="D65" s="1">
        <v>1538.4615384615383</v>
      </c>
      <c r="F65" s="1">
        <f t="shared" si="2"/>
        <v>4578.6380090497732</v>
      </c>
      <c r="G65" s="1">
        <f t="shared" si="3"/>
        <v>2289.3190045248866</v>
      </c>
    </row>
    <row r="66" spans="2:7" x14ac:dyDescent="0.2">
      <c r="B66" s="1">
        <v>86.4</v>
      </c>
      <c r="C66" s="1">
        <v>2941.1764705882351</v>
      </c>
      <c r="D66" s="1">
        <v>1538.4615384615383</v>
      </c>
      <c r="F66" s="1">
        <f t="shared" si="2"/>
        <v>4566.0380090497738</v>
      </c>
      <c r="G66" s="1">
        <f t="shared" si="3"/>
        <v>2283.0190045248869</v>
      </c>
    </row>
    <row r="67" spans="2:7" x14ac:dyDescent="0.2">
      <c r="B67" s="1">
        <v>99.899999999999991</v>
      </c>
      <c r="C67" s="1">
        <v>2941.1764705882351</v>
      </c>
      <c r="D67" s="1">
        <v>1538.4615384615383</v>
      </c>
      <c r="F67" s="1">
        <f t="shared" si="2"/>
        <v>4579.5380090497738</v>
      </c>
      <c r="G67" s="1">
        <f t="shared" si="3"/>
        <v>2289.7690045248869</v>
      </c>
    </row>
    <row r="68" spans="2:7" x14ac:dyDescent="0.2">
      <c r="B68" s="1">
        <v>118.80000000000001</v>
      </c>
      <c r="C68" s="1">
        <v>2941.1764705882351</v>
      </c>
      <c r="D68" s="1">
        <v>1538.4615384615383</v>
      </c>
      <c r="F68" s="1">
        <f t="shared" si="2"/>
        <v>4598.4380090497734</v>
      </c>
      <c r="G68" s="1">
        <f t="shared" si="3"/>
        <v>2299.2190045248867</v>
      </c>
    </row>
    <row r="69" spans="2:7" x14ac:dyDescent="0.2">
      <c r="B69" s="1">
        <v>113.39999999999999</v>
      </c>
      <c r="C69" s="1">
        <v>2941.1764705882351</v>
      </c>
      <c r="D69" s="1">
        <v>1538.4615384615383</v>
      </c>
      <c r="F69" s="1">
        <f t="shared" si="2"/>
        <v>4593.0380090497738</v>
      </c>
      <c r="G69" s="1">
        <f t="shared" si="3"/>
        <v>2296.5190045248869</v>
      </c>
    </row>
    <row r="70" spans="2:7" x14ac:dyDescent="0.2">
      <c r="B70" s="1">
        <v>100.80000000000001</v>
      </c>
      <c r="C70" s="1">
        <v>2941.1764705882351</v>
      </c>
      <c r="D70" s="1">
        <v>1538.4615384615383</v>
      </c>
      <c r="F70" s="1">
        <f t="shared" si="2"/>
        <v>4580.4380090497734</v>
      </c>
      <c r="G70" s="1">
        <f t="shared" si="3"/>
        <v>2290.2190045248867</v>
      </c>
    </row>
    <row r="71" spans="2:7" x14ac:dyDescent="0.2">
      <c r="B71" s="1">
        <v>95.4</v>
      </c>
      <c r="C71" s="1">
        <v>2941.1764705882351</v>
      </c>
      <c r="D71" s="1">
        <v>1538.4615384615383</v>
      </c>
      <c r="F71" s="1">
        <f t="shared" si="2"/>
        <v>4575.0380090497738</v>
      </c>
      <c r="G71" s="1">
        <f t="shared" si="3"/>
        <v>2287.5190045248869</v>
      </c>
    </row>
    <row r="72" spans="2:7" x14ac:dyDescent="0.2">
      <c r="B72" s="1">
        <v>100.80000000000001</v>
      </c>
      <c r="C72" s="1">
        <v>2941.1764705882351</v>
      </c>
      <c r="D72" s="1">
        <v>1538.4615384615383</v>
      </c>
      <c r="F72" s="1">
        <f t="shared" si="2"/>
        <v>4580.4380090497734</v>
      </c>
      <c r="G72" s="1">
        <f t="shared" si="3"/>
        <v>2290.2190045248867</v>
      </c>
    </row>
    <row r="73" spans="2:7" x14ac:dyDescent="0.2">
      <c r="B73" s="1">
        <v>127.80000000000001</v>
      </c>
      <c r="C73" s="1">
        <v>2941.1764705882351</v>
      </c>
      <c r="D73" s="1">
        <v>1538.4615384615383</v>
      </c>
      <c r="F73" s="1">
        <f t="shared" si="2"/>
        <v>4607.4380090497734</v>
      </c>
      <c r="G73" s="1">
        <f t="shared" si="3"/>
        <v>2303.7190045248867</v>
      </c>
    </row>
    <row r="74" spans="2:7" x14ac:dyDescent="0.2">
      <c r="B74" s="1">
        <v>136.80000000000001</v>
      </c>
      <c r="C74" s="1">
        <v>2941.1764705882351</v>
      </c>
      <c r="D74" s="1">
        <v>1538.4615384615383</v>
      </c>
      <c r="F74" s="1">
        <f t="shared" si="2"/>
        <v>4616.4380090497734</v>
      </c>
      <c r="G74" s="1">
        <f t="shared" si="3"/>
        <v>2308.2190045248867</v>
      </c>
    </row>
    <row r="75" spans="2:7" x14ac:dyDescent="0.2">
      <c r="B75" s="1">
        <v>120.60000000000001</v>
      </c>
      <c r="C75" s="1">
        <v>2941.1764705882351</v>
      </c>
      <c r="D75" s="1">
        <v>1538.4615384615383</v>
      </c>
      <c r="F75" s="1">
        <f t="shared" si="2"/>
        <v>4600.2380090497736</v>
      </c>
      <c r="G75" s="1">
        <f t="shared" si="3"/>
        <v>2300.1190045248868</v>
      </c>
    </row>
    <row r="76" spans="2:7" x14ac:dyDescent="0.2">
      <c r="B76" s="1">
        <v>117.72</v>
      </c>
      <c r="C76" s="1">
        <v>2941.1764705882351</v>
      </c>
      <c r="D76" s="1">
        <v>1538.4615384615383</v>
      </c>
      <c r="F76" s="1">
        <f t="shared" si="2"/>
        <v>4597.3580090497735</v>
      </c>
      <c r="G76" s="1">
        <f t="shared" si="3"/>
        <v>2298.6790045248868</v>
      </c>
    </row>
    <row r="77" spans="2:7" x14ac:dyDescent="0.2">
      <c r="B77" s="1">
        <v>97.199999999999989</v>
      </c>
      <c r="C77" s="1">
        <v>2941.1764705882351</v>
      </c>
      <c r="D77" s="1">
        <v>1538.4615384615383</v>
      </c>
      <c r="F77" s="1">
        <f t="shared" si="2"/>
        <v>4576.8380090497731</v>
      </c>
      <c r="G77" s="1">
        <f t="shared" si="3"/>
        <v>2288.4190045248865</v>
      </c>
    </row>
    <row r="78" spans="2:7" x14ac:dyDescent="0.2">
      <c r="B78" s="1">
        <v>90</v>
      </c>
      <c r="C78" s="1">
        <v>2941.1764705882351</v>
      </c>
      <c r="D78" s="1">
        <v>1538.4615384615383</v>
      </c>
      <c r="F78" s="1">
        <f t="shared" si="2"/>
        <v>4569.6380090497732</v>
      </c>
      <c r="G78" s="1">
        <f t="shared" si="3"/>
        <v>2284.8190045248866</v>
      </c>
    </row>
    <row r="79" spans="2:7" x14ac:dyDescent="0.2">
      <c r="B79" s="1">
        <v>72</v>
      </c>
      <c r="C79" s="1">
        <v>2941.1764705882351</v>
      </c>
      <c r="D79" s="1">
        <v>1538.4615384615383</v>
      </c>
      <c r="F79" s="1">
        <f t="shared" si="2"/>
        <v>4551.6380090497732</v>
      </c>
      <c r="G79" s="1">
        <f t="shared" si="3"/>
        <v>2275.8190045248866</v>
      </c>
    </row>
    <row r="80" spans="2:7" x14ac:dyDescent="0.2">
      <c r="B80" s="1">
        <v>46.8</v>
      </c>
      <c r="C80" s="1">
        <v>2941.1764705882351</v>
      </c>
      <c r="D80" s="1">
        <v>1538.4615384615383</v>
      </c>
      <c r="F80" s="1">
        <f t="shared" si="2"/>
        <v>4526.4380090497734</v>
      </c>
      <c r="G80" s="1">
        <f t="shared" si="3"/>
        <v>2263.2190045248867</v>
      </c>
    </row>
    <row r="82" spans="2:9" x14ac:dyDescent="0.2">
      <c r="B82" s="1" t="s">
        <v>192</v>
      </c>
      <c r="E82" s="1" t="s">
        <v>193</v>
      </c>
      <c r="I82" s="1" t="s">
        <v>194</v>
      </c>
    </row>
    <row r="83" spans="2:9" x14ac:dyDescent="0.2">
      <c r="B83" s="1" t="s">
        <v>183</v>
      </c>
      <c r="E83" s="1" t="s">
        <v>162</v>
      </c>
      <c r="F83" s="1" t="s">
        <v>45</v>
      </c>
      <c r="G83" s="1" t="s">
        <v>52</v>
      </c>
    </row>
    <row r="84" spans="2:9" x14ac:dyDescent="0.2">
      <c r="B84" s="1">
        <v>8.0997734999999995</v>
      </c>
      <c r="E84" s="1">
        <v>4.2857142857142856</v>
      </c>
      <c r="F84" s="1">
        <v>4.615384615384615</v>
      </c>
      <c r="G84" s="1">
        <v>8.5499999999999989</v>
      </c>
      <c r="I84" s="1">
        <f>B84-E84-F84-G84</f>
        <v>-9.3513254010989009</v>
      </c>
    </row>
    <row r="85" spans="2:9" x14ac:dyDescent="0.2">
      <c r="B85" s="1">
        <v>7.8188564999999972</v>
      </c>
      <c r="E85" s="1">
        <v>4.2857142857142856</v>
      </c>
      <c r="F85" s="1">
        <v>4.615384615384615</v>
      </c>
      <c r="G85" s="1">
        <v>8.5499999999999989</v>
      </c>
      <c r="I85" s="1">
        <f t="shared" ref="I85:I107" si="4">B85-E85-F85-G85</f>
        <v>-9.6322424010989032</v>
      </c>
    </row>
    <row r="86" spans="2:9" x14ac:dyDescent="0.2">
      <c r="B86" s="1">
        <v>7.6783979999999978</v>
      </c>
      <c r="E86" s="1">
        <v>4.2857142857142856</v>
      </c>
      <c r="F86" s="1">
        <v>4.615384615384615</v>
      </c>
      <c r="G86" s="1">
        <v>8.5499999999999989</v>
      </c>
      <c r="I86" s="1">
        <f t="shared" si="4"/>
        <v>-9.7727009010989008</v>
      </c>
    </row>
    <row r="87" spans="2:9" x14ac:dyDescent="0.2">
      <c r="B87" s="1">
        <v>8.8096291499999975</v>
      </c>
      <c r="E87" s="1">
        <v>4.2857142857142856</v>
      </c>
      <c r="F87" s="1">
        <v>4.615384615384615</v>
      </c>
      <c r="G87" s="1">
        <v>8.5499999999999989</v>
      </c>
      <c r="I87" s="1">
        <f t="shared" si="4"/>
        <v>-8.6414697510989029</v>
      </c>
    </row>
    <row r="88" spans="2:9" x14ac:dyDescent="0.2">
      <c r="B88" s="1">
        <v>9.4330487999999981</v>
      </c>
      <c r="E88" s="1">
        <v>4.2857142857142856</v>
      </c>
      <c r="F88" s="1">
        <v>4.615384615384615</v>
      </c>
      <c r="G88" s="1">
        <v>8.5499999999999989</v>
      </c>
      <c r="I88" s="1">
        <f t="shared" si="4"/>
        <v>-8.0180501010989005</v>
      </c>
    </row>
    <row r="89" spans="2:9" x14ac:dyDescent="0.2">
      <c r="B89" s="1">
        <v>9.4395314999999975</v>
      </c>
      <c r="E89" s="1">
        <v>4.2857142857142856</v>
      </c>
      <c r="F89" s="1">
        <v>4.615384615384615</v>
      </c>
      <c r="G89" s="1">
        <v>8.5499999999999989</v>
      </c>
      <c r="I89" s="1">
        <f t="shared" si="4"/>
        <v>-8.0115674010989011</v>
      </c>
    </row>
    <row r="90" spans="2:9" x14ac:dyDescent="0.2">
      <c r="B90" s="1">
        <v>8.8550080499999986</v>
      </c>
      <c r="E90" s="1">
        <v>4.2857142857142856</v>
      </c>
      <c r="F90" s="1">
        <v>4.615384615384615</v>
      </c>
      <c r="G90" s="1">
        <v>8.5499999999999989</v>
      </c>
      <c r="I90" s="1">
        <f t="shared" si="4"/>
        <v>-8.5960908510989</v>
      </c>
    </row>
    <row r="91" spans="2:9" x14ac:dyDescent="0.2">
      <c r="B91" s="1">
        <v>7.9463495999999978</v>
      </c>
      <c r="E91" s="1">
        <v>4.2857142857142856</v>
      </c>
      <c r="F91" s="1">
        <v>4.615384615384615</v>
      </c>
      <c r="G91" s="1">
        <v>8.5499999999999989</v>
      </c>
      <c r="I91" s="1">
        <f t="shared" si="4"/>
        <v>-9.5047493010989008</v>
      </c>
    </row>
    <row r="92" spans="2:9" x14ac:dyDescent="0.2">
      <c r="B92" s="1">
        <v>6.911278499999999</v>
      </c>
      <c r="E92" s="1">
        <v>4.2857142857142856</v>
      </c>
      <c r="F92" s="1">
        <v>4.615384615384615</v>
      </c>
      <c r="G92" s="1">
        <v>8.5499999999999989</v>
      </c>
      <c r="I92" s="1">
        <f t="shared" si="4"/>
        <v>-10.539820401098901</v>
      </c>
    </row>
    <row r="93" spans="2:9" x14ac:dyDescent="0.2">
      <c r="B93" s="1">
        <v>6.7654177499999975</v>
      </c>
      <c r="E93" s="1">
        <v>4.2857142857142856</v>
      </c>
      <c r="F93" s="1">
        <v>4.615384615384615</v>
      </c>
      <c r="G93" s="1">
        <v>8.5499999999999989</v>
      </c>
      <c r="I93" s="1">
        <f t="shared" si="4"/>
        <v>-10.685681151098901</v>
      </c>
    </row>
    <row r="94" spans="2:9" x14ac:dyDescent="0.2">
      <c r="B94" s="1">
        <v>5.9648042999999991</v>
      </c>
      <c r="E94" s="1">
        <v>4.2857142857142856</v>
      </c>
      <c r="F94" s="1">
        <v>4.615384615384615</v>
      </c>
      <c r="G94" s="1">
        <v>8.5499999999999989</v>
      </c>
      <c r="I94" s="1">
        <f t="shared" si="4"/>
        <v>-11.486294601098901</v>
      </c>
    </row>
    <row r="95" spans="2:9" x14ac:dyDescent="0.2">
      <c r="B95" s="1">
        <v>5.2981666499999998</v>
      </c>
      <c r="E95" s="1">
        <v>4.2857142857142856</v>
      </c>
      <c r="F95" s="1">
        <v>4.615384615384615</v>
      </c>
      <c r="G95" s="1">
        <v>8.5499999999999989</v>
      </c>
      <c r="I95" s="1">
        <f t="shared" si="4"/>
        <v>-12.1529322510989</v>
      </c>
    </row>
    <row r="96" spans="2:9" x14ac:dyDescent="0.2">
      <c r="B96" s="1">
        <v>6.3850993499999991</v>
      </c>
      <c r="E96" s="1">
        <v>4.2857142857142856</v>
      </c>
      <c r="F96" s="1">
        <v>4.615384615384615</v>
      </c>
      <c r="G96" s="1">
        <v>8.5499999999999989</v>
      </c>
      <c r="I96" s="1">
        <f t="shared" si="4"/>
        <v>-11.065999551098901</v>
      </c>
    </row>
    <row r="97" spans="2:9" x14ac:dyDescent="0.2">
      <c r="B97" s="1">
        <v>7.0398520499999977</v>
      </c>
      <c r="E97" s="1">
        <v>4.2857142857142856</v>
      </c>
      <c r="F97" s="1">
        <v>4.615384615384615</v>
      </c>
      <c r="G97" s="1">
        <v>8.5499999999999989</v>
      </c>
      <c r="I97" s="1">
        <f t="shared" si="4"/>
        <v>-10.411246851098902</v>
      </c>
    </row>
    <row r="98" spans="2:9" x14ac:dyDescent="0.2">
      <c r="B98" s="1">
        <v>7.656788999999999</v>
      </c>
      <c r="E98" s="1">
        <v>4.2857142857142856</v>
      </c>
      <c r="F98" s="1">
        <v>4.615384615384615</v>
      </c>
      <c r="G98" s="1">
        <v>8.5499999999999989</v>
      </c>
      <c r="I98" s="1">
        <f t="shared" si="4"/>
        <v>-9.7943099010989005</v>
      </c>
    </row>
    <row r="99" spans="2:9" x14ac:dyDescent="0.2">
      <c r="B99" s="1">
        <v>8.4066212999999976</v>
      </c>
      <c r="E99" s="1">
        <v>4.2857142857142856</v>
      </c>
      <c r="F99" s="1">
        <v>4.615384615384615</v>
      </c>
      <c r="G99" s="1">
        <v>8.5499999999999989</v>
      </c>
      <c r="I99" s="1">
        <f t="shared" si="4"/>
        <v>-9.044477601098901</v>
      </c>
    </row>
    <row r="100" spans="2:9" x14ac:dyDescent="0.2">
      <c r="B100" s="1">
        <v>8.6151481499999978</v>
      </c>
      <c r="E100" s="1">
        <v>4.2857142857142856</v>
      </c>
      <c r="F100" s="1">
        <v>4.615384615384615</v>
      </c>
      <c r="G100" s="1">
        <v>8.5499999999999989</v>
      </c>
      <c r="I100" s="1">
        <f t="shared" si="4"/>
        <v>-8.8359507510989026</v>
      </c>
    </row>
    <row r="101" spans="2:9" x14ac:dyDescent="0.2">
      <c r="B101" s="1">
        <v>8.8506862499999972</v>
      </c>
      <c r="E101" s="1">
        <v>4.2857142857142856</v>
      </c>
      <c r="F101" s="1">
        <v>4.615384615384615</v>
      </c>
      <c r="G101" s="1">
        <v>8.5499999999999989</v>
      </c>
      <c r="I101" s="1">
        <f t="shared" si="4"/>
        <v>-8.6004126510989032</v>
      </c>
    </row>
    <row r="102" spans="2:9" x14ac:dyDescent="0.2">
      <c r="B102" s="1">
        <v>9.759344699999998</v>
      </c>
      <c r="E102" s="1">
        <v>4.2857142857142856</v>
      </c>
      <c r="F102" s="1">
        <v>4.615384615384615</v>
      </c>
      <c r="G102" s="1">
        <v>8.5499999999999989</v>
      </c>
      <c r="I102" s="1">
        <f t="shared" si="4"/>
        <v>-7.6917542010989015</v>
      </c>
    </row>
    <row r="103" spans="2:9" x14ac:dyDescent="0.2">
      <c r="B103" s="1">
        <v>9.961388849999997</v>
      </c>
      <c r="E103" s="1">
        <v>4.2857142857142856</v>
      </c>
      <c r="F103" s="1">
        <v>4.615384615384615</v>
      </c>
      <c r="G103" s="1">
        <v>8.5499999999999989</v>
      </c>
      <c r="I103" s="1">
        <f t="shared" si="4"/>
        <v>-7.4897100510989025</v>
      </c>
    </row>
    <row r="104" spans="2:9" x14ac:dyDescent="0.2">
      <c r="B104" s="1">
        <v>9.4081984499999987</v>
      </c>
      <c r="E104" s="1">
        <v>4.2857142857142856</v>
      </c>
      <c r="F104" s="1">
        <v>4.615384615384615</v>
      </c>
      <c r="G104" s="1">
        <v>8.5499999999999989</v>
      </c>
      <c r="I104" s="1">
        <f t="shared" si="4"/>
        <v>-8.0429004510989017</v>
      </c>
    </row>
    <row r="105" spans="2:9" x14ac:dyDescent="0.2">
      <c r="B105" s="1">
        <v>8.6713315499999979</v>
      </c>
      <c r="E105" s="1">
        <v>4.2857142857142856</v>
      </c>
      <c r="F105" s="1">
        <v>4.615384615384615</v>
      </c>
      <c r="G105" s="1">
        <v>8.5499999999999989</v>
      </c>
      <c r="I105" s="1">
        <f t="shared" si="4"/>
        <v>-8.7797673510989007</v>
      </c>
    </row>
    <row r="106" spans="2:9" x14ac:dyDescent="0.2">
      <c r="B106" s="1">
        <v>8.5308730499999967</v>
      </c>
      <c r="E106" s="1">
        <v>4.2857142857142856</v>
      </c>
      <c r="F106" s="1">
        <v>4.615384615384615</v>
      </c>
      <c r="G106" s="1">
        <v>8.5499999999999989</v>
      </c>
      <c r="I106" s="1">
        <f t="shared" si="4"/>
        <v>-8.9202258510989019</v>
      </c>
    </row>
    <row r="107" spans="2:9" x14ac:dyDescent="0.2">
      <c r="B107" s="1">
        <v>7.6092491999999989</v>
      </c>
      <c r="E107" s="1">
        <v>4.2857142857142856</v>
      </c>
      <c r="F107" s="1">
        <v>4.615384615384615</v>
      </c>
      <c r="G107" s="1">
        <v>8.5499999999999989</v>
      </c>
      <c r="I107" s="1">
        <f t="shared" si="4"/>
        <v>-9.8418497010989014</v>
      </c>
    </row>
  </sheetData>
  <phoneticPr fontId="10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80EAA-C521-44BC-AF2B-BAF81B00F0AE}">
  <dimension ref="A1:T35"/>
  <sheetViews>
    <sheetView tabSelected="1" topLeftCell="A3" zoomScale="115" zoomScaleNormal="115" workbookViewId="0">
      <selection activeCell="H9" sqref="H9"/>
    </sheetView>
  </sheetViews>
  <sheetFormatPr defaultRowHeight="14.25" x14ac:dyDescent="0.2"/>
  <sheetData>
    <row r="1" spans="1:20" ht="23.25" x14ac:dyDescent="0.35">
      <c r="A1" s="43" t="s">
        <v>45</v>
      </c>
      <c r="B1" s="43"/>
      <c r="C1" s="43"/>
      <c r="D1" s="43"/>
      <c r="E1" s="42"/>
      <c r="G1" s="43" t="s">
        <v>49</v>
      </c>
      <c r="H1" s="43"/>
      <c r="I1" s="43"/>
      <c r="K1" s="43" t="s">
        <v>52</v>
      </c>
      <c r="L1" s="43"/>
      <c r="M1" s="43"/>
      <c r="O1" s="43" t="s">
        <v>55</v>
      </c>
      <c r="P1" s="43"/>
      <c r="Q1" s="43"/>
      <c r="S1" s="43" t="s">
        <v>199</v>
      </c>
      <c r="T1" s="43"/>
    </row>
    <row r="2" spans="1:20" x14ac:dyDescent="0.2">
      <c r="A2" s="2" t="s">
        <v>4</v>
      </c>
      <c r="B2" s="2" t="s">
        <v>46</v>
      </c>
      <c r="C2" s="2" t="s">
        <v>47</v>
      </c>
      <c r="D2" s="2" t="s">
        <v>48</v>
      </c>
      <c r="E2" s="2" t="s">
        <v>230</v>
      </c>
      <c r="G2" s="2" t="s">
        <v>4</v>
      </c>
      <c r="H2" s="2" t="s">
        <v>50</v>
      </c>
      <c r="I2" s="2" t="s">
        <v>51</v>
      </c>
      <c r="K2" s="2" t="s">
        <v>4</v>
      </c>
      <c r="L2" s="2" t="s">
        <v>53</v>
      </c>
      <c r="M2" s="2" t="s">
        <v>54</v>
      </c>
      <c r="O2" s="2" t="s">
        <v>4</v>
      </c>
      <c r="P2" s="2" t="s">
        <v>56</v>
      </c>
      <c r="Q2" s="2" t="s">
        <v>57</v>
      </c>
      <c r="S2" s="2" t="s">
        <v>4</v>
      </c>
      <c r="T2" s="2" t="s">
        <v>200</v>
      </c>
    </row>
    <row r="3" spans="1:20" x14ac:dyDescent="0.2">
      <c r="A3" s="2">
        <v>1</v>
      </c>
      <c r="B3" s="2">
        <v>0</v>
      </c>
      <c r="C3" s="2">
        <v>0</v>
      </c>
      <c r="D3" s="2">
        <v>0</v>
      </c>
      <c r="E3" s="2">
        <v>0</v>
      </c>
      <c r="G3" s="2">
        <v>1</v>
      </c>
      <c r="H3" s="2">
        <v>0</v>
      </c>
      <c r="I3" s="2">
        <v>0</v>
      </c>
      <c r="K3" s="2">
        <v>1</v>
      </c>
      <c r="L3" s="2">
        <v>0</v>
      </c>
      <c r="M3" s="2">
        <v>0</v>
      </c>
      <c r="O3" s="2">
        <v>1</v>
      </c>
      <c r="P3" s="2">
        <v>0</v>
      </c>
      <c r="Q3" s="2">
        <v>0</v>
      </c>
      <c r="S3" s="2">
        <v>1</v>
      </c>
      <c r="T3" s="2">
        <v>0</v>
      </c>
    </row>
    <row r="4" spans="1:20" x14ac:dyDescent="0.2">
      <c r="A4" s="2">
        <v>2</v>
      </c>
      <c r="B4" s="2">
        <v>0</v>
      </c>
      <c r="C4" s="2">
        <v>0</v>
      </c>
      <c r="D4" s="2">
        <v>0</v>
      </c>
      <c r="E4" s="2">
        <v>0</v>
      </c>
      <c r="G4" s="2">
        <v>2</v>
      </c>
      <c r="H4" s="2">
        <v>0</v>
      </c>
      <c r="I4" s="2">
        <v>0</v>
      </c>
      <c r="K4" s="2">
        <v>2</v>
      </c>
      <c r="L4" s="2">
        <v>0</v>
      </c>
      <c r="M4" s="2">
        <v>0</v>
      </c>
      <c r="O4" s="2">
        <v>2</v>
      </c>
      <c r="P4" s="2">
        <v>0</v>
      </c>
      <c r="Q4" s="2">
        <v>0</v>
      </c>
      <c r="S4" s="2">
        <v>2</v>
      </c>
      <c r="T4" s="2">
        <v>0</v>
      </c>
    </row>
    <row r="5" spans="1:20" x14ac:dyDescent="0.2">
      <c r="A5" s="2">
        <v>3</v>
      </c>
      <c r="B5" s="2">
        <v>0</v>
      </c>
      <c r="C5" s="2">
        <v>0</v>
      </c>
      <c r="D5" s="2">
        <v>0</v>
      </c>
      <c r="E5" s="2">
        <v>0</v>
      </c>
      <c r="G5" s="2">
        <v>3</v>
      </c>
      <c r="H5" s="2">
        <v>0</v>
      </c>
      <c r="I5" s="2">
        <v>0</v>
      </c>
      <c r="K5" s="2">
        <v>3</v>
      </c>
      <c r="L5" s="2">
        <v>0</v>
      </c>
      <c r="M5" s="2">
        <v>0</v>
      </c>
      <c r="O5" s="2">
        <v>3</v>
      </c>
      <c r="P5" s="2">
        <v>0</v>
      </c>
      <c r="Q5" s="2">
        <v>0</v>
      </c>
      <c r="S5" s="2">
        <v>3</v>
      </c>
      <c r="T5" s="2">
        <v>0</v>
      </c>
    </row>
    <row r="6" spans="1:20" x14ac:dyDescent="0.2">
      <c r="A6" s="2">
        <v>4</v>
      </c>
      <c r="B6" s="2">
        <v>0</v>
      </c>
      <c r="C6" s="2">
        <v>0</v>
      </c>
      <c r="D6" s="2">
        <v>0</v>
      </c>
      <c r="E6" s="2">
        <v>0</v>
      </c>
      <c r="G6" s="2">
        <v>4</v>
      </c>
      <c r="H6" s="2">
        <v>0</v>
      </c>
      <c r="I6" s="2">
        <v>0</v>
      </c>
      <c r="K6" s="2">
        <v>4</v>
      </c>
      <c r="L6" s="2">
        <v>0</v>
      </c>
      <c r="M6" s="2">
        <v>0</v>
      </c>
      <c r="O6" s="2">
        <v>4</v>
      </c>
      <c r="P6" s="2">
        <v>0</v>
      </c>
      <c r="Q6" s="2">
        <v>0</v>
      </c>
      <c r="S6" s="2">
        <v>4</v>
      </c>
      <c r="T6" s="2">
        <v>0</v>
      </c>
    </row>
    <row r="7" spans="1:20" x14ac:dyDescent="0.2">
      <c r="A7" s="2">
        <v>5</v>
      </c>
      <c r="B7" s="2">
        <v>0</v>
      </c>
      <c r="C7" s="2">
        <v>0</v>
      </c>
      <c r="D7" s="2">
        <v>0</v>
      </c>
      <c r="E7" s="2">
        <v>0</v>
      </c>
      <c r="G7" s="2">
        <v>5</v>
      </c>
      <c r="H7" s="2">
        <v>0</v>
      </c>
      <c r="I7" s="2">
        <v>0</v>
      </c>
      <c r="K7" s="2">
        <v>5</v>
      </c>
      <c r="L7" s="2">
        <v>0</v>
      </c>
      <c r="M7" s="2">
        <v>0</v>
      </c>
      <c r="O7" s="2">
        <v>5</v>
      </c>
      <c r="P7" s="2">
        <v>0</v>
      </c>
      <c r="Q7" s="2">
        <v>0</v>
      </c>
      <c r="S7" s="2">
        <v>5</v>
      </c>
      <c r="T7" s="2">
        <v>0</v>
      </c>
    </row>
    <row r="8" spans="1:20" x14ac:dyDescent="0.2">
      <c r="A8" s="2">
        <v>6</v>
      </c>
      <c r="B8" s="2">
        <v>0</v>
      </c>
      <c r="C8" s="2">
        <v>0</v>
      </c>
      <c r="D8" s="2">
        <v>0</v>
      </c>
      <c r="E8" s="2">
        <v>0</v>
      </c>
      <c r="G8" s="2">
        <v>6</v>
      </c>
      <c r="H8" s="2">
        <v>0</v>
      </c>
      <c r="I8" s="2">
        <v>0</v>
      </c>
      <c r="K8" s="2">
        <v>6</v>
      </c>
      <c r="L8" s="2">
        <v>0</v>
      </c>
      <c r="M8" s="2">
        <v>0</v>
      </c>
      <c r="O8" s="2">
        <v>6</v>
      </c>
      <c r="P8" s="2">
        <v>0</v>
      </c>
      <c r="Q8" s="2">
        <v>0</v>
      </c>
      <c r="S8" s="2">
        <v>6</v>
      </c>
      <c r="T8" s="2">
        <v>0</v>
      </c>
    </row>
    <row r="9" spans="1:20" x14ac:dyDescent="0.2">
      <c r="A9" s="2">
        <v>7</v>
      </c>
      <c r="B9" s="2">
        <v>0</v>
      </c>
      <c r="C9" s="2">
        <v>0</v>
      </c>
      <c r="D9" s="2">
        <v>0</v>
      </c>
      <c r="E9" s="2">
        <v>0</v>
      </c>
      <c r="G9" s="2">
        <v>7</v>
      </c>
      <c r="H9" s="2">
        <v>0</v>
      </c>
      <c r="I9" s="2">
        <v>0</v>
      </c>
      <c r="K9" s="2">
        <v>7</v>
      </c>
      <c r="L9" s="2">
        <v>0</v>
      </c>
      <c r="M9" s="2">
        <v>0</v>
      </c>
      <c r="O9" s="2">
        <v>7</v>
      </c>
      <c r="P9" s="2">
        <v>0</v>
      </c>
      <c r="Q9" s="2">
        <v>0</v>
      </c>
      <c r="S9" s="2">
        <v>7</v>
      </c>
      <c r="T9" s="2">
        <v>1</v>
      </c>
    </row>
    <row r="10" spans="1:20" x14ac:dyDescent="0.2">
      <c r="A10" s="2">
        <v>8</v>
      </c>
      <c r="B10" s="2">
        <v>0</v>
      </c>
      <c r="C10" s="2">
        <v>0</v>
      </c>
      <c r="D10" s="2">
        <v>0</v>
      </c>
      <c r="E10" s="2">
        <v>0</v>
      </c>
      <c r="G10" s="2">
        <v>8</v>
      </c>
      <c r="H10" s="2">
        <v>0</v>
      </c>
      <c r="I10" s="2">
        <v>0</v>
      </c>
      <c r="K10" s="2">
        <v>8</v>
      </c>
      <c r="L10" s="2">
        <v>0</v>
      </c>
      <c r="M10" s="2">
        <v>0</v>
      </c>
      <c r="O10" s="2">
        <v>8</v>
      </c>
      <c r="P10" s="2">
        <v>0</v>
      </c>
      <c r="Q10" s="2">
        <v>0</v>
      </c>
      <c r="S10" s="2">
        <v>8</v>
      </c>
      <c r="T10" s="2">
        <v>0</v>
      </c>
    </row>
    <row r="11" spans="1:20" x14ac:dyDescent="0.2">
      <c r="A11" s="2">
        <v>9</v>
      </c>
      <c r="B11" s="2">
        <v>0</v>
      </c>
      <c r="C11" s="2">
        <v>0</v>
      </c>
      <c r="D11" s="2">
        <v>0</v>
      </c>
      <c r="E11" s="2">
        <v>0</v>
      </c>
      <c r="G11" s="2">
        <v>9</v>
      </c>
      <c r="H11" s="2">
        <v>0</v>
      </c>
      <c r="I11" s="2">
        <v>0</v>
      </c>
      <c r="K11" s="2">
        <v>9</v>
      </c>
      <c r="L11" s="2">
        <v>0</v>
      </c>
      <c r="M11" s="2">
        <v>0</v>
      </c>
      <c r="O11" s="2">
        <v>9</v>
      </c>
      <c r="P11" s="2">
        <v>0</v>
      </c>
      <c r="Q11" s="2">
        <v>0</v>
      </c>
      <c r="S11" s="2">
        <v>9</v>
      </c>
      <c r="T11" s="2">
        <v>0</v>
      </c>
    </row>
    <row r="12" spans="1:20" x14ac:dyDescent="0.2">
      <c r="A12" s="2">
        <v>10</v>
      </c>
      <c r="B12" s="2">
        <v>0</v>
      </c>
      <c r="C12" s="2">
        <v>0</v>
      </c>
      <c r="D12" s="2">
        <v>0</v>
      </c>
      <c r="E12" s="2">
        <v>0</v>
      </c>
      <c r="G12" s="2">
        <v>10</v>
      </c>
      <c r="H12" s="2">
        <v>0</v>
      </c>
      <c r="I12" s="2">
        <v>0</v>
      </c>
      <c r="K12" s="2">
        <v>10</v>
      </c>
      <c r="L12" s="2">
        <v>0</v>
      </c>
      <c r="M12" s="2">
        <v>0</v>
      </c>
      <c r="O12" s="2">
        <v>10</v>
      </c>
      <c r="P12" s="2">
        <v>1</v>
      </c>
      <c r="Q12" s="2">
        <v>0</v>
      </c>
      <c r="S12" s="2">
        <v>10</v>
      </c>
      <c r="T12" s="2">
        <v>0</v>
      </c>
    </row>
    <row r="13" spans="1:20" x14ac:dyDescent="0.2">
      <c r="A13" s="2">
        <v>11</v>
      </c>
      <c r="B13" s="2">
        <v>0</v>
      </c>
      <c r="C13" s="2">
        <v>0</v>
      </c>
      <c r="D13" s="2">
        <v>0</v>
      </c>
      <c r="E13" s="2">
        <v>0</v>
      </c>
      <c r="G13" s="2">
        <v>11</v>
      </c>
      <c r="H13" s="2">
        <v>0</v>
      </c>
      <c r="I13" s="2">
        <v>0</v>
      </c>
      <c r="K13" s="2">
        <v>11</v>
      </c>
      <c r="L13" s="2">
        <v>1</v>
      </c>
      <c r="M13" s="2">
        <v>0</v>
      </c>
      <c r="O13" s="2">
        <v>11</v>
      </c>
      <c r="P13" s="2">
        <v>0</v>
      </c>
      <c r="Q13" s="2">
        <v>0</v>
      </c>
      <c r="S13" s="2">
        <v>11</v>
      </c>
      <c r="T13" s="2">
        <v>0</v>
      </c>
    </row>
    <row r="14" spans="1:20" x14ac:dyDescent="0.2">
      <c r="A14" s="2">
        <v>12</v>
      </c>
      <c r="B14" s="2">
        <v>0</v>
      </c>
      <c r="C14" s="2">
        <v>0</v>
      </c>
      <c r="D14" s="2">
        <v>0</v>
      </c>
      <c r="E14" s="2">
        <v>0</v>
      </c>
      <c r="G14" s="2">
        <v>12</v>
      </c>
      <c r="H14" s="2">
        <v>0</v>
      </c>
      <c r="I14" s="2">
        <v>0</v>
      </c>
      <c r="K14" s="2">
        <v>12</v>
      </c>
      <c r="L14" s="2">
        <v>0</v>
      </c>
      <c r="M14" s="2">
        <v>0</v>
      </c>
      <c r="O14" s="2">
        <v>12</v>
      </c>
      <c r="P14" s="2">
        <v>0</v>
      </c>
      <c r="Q14" s="2">
        <v>0</v>
      </c>
      <c r="S14" s="2">
        <v>12</v>
      </c>
      <c r="T14" s="2">
        <v>0</v>
      </c>
    </row>
    <row r="15" spans="1:20" x14ac:dyDescent="0.2">
      <c r="A15" s="2">
        <v>13</v>
      </c>
      <c r="B15" s="2">
        <v>0</v>
      </c>
      <c r="C15" s="2">
        <v>0</v>
      </c>
      <c r="D15" s="2">
        <v>0</v>
      </c>
      <c r="E15" s="2">
        <v>0</v>
      </c>
      <c r="G15" s="2">
        <v>13</v>
      </c>
      <c r="H15" s="2">
        <v>0</v>
      </c>
      <c r="I15" s="2">
        <v>0</v>
      </c>
      <c r="K15" s="2">
        <v>13</v>
      </c>
      <c r="L15" s="2">
        <v>0</v>
      </c>
      <c r="M15" s="2">
        <v>0</v>
      </c>
      <c r="O15" s="2">
        <v>13</v>
      </c>
      <c r="P15" s="2">
        <v>0</v>
      </c>
      <c r="Q15" s="2">
        <v>0</v>
      </c>
      <c r="S15" s="2">
        <v>13</v>
      </c>
      <c r="T15" s="2">
        <v>0</v>
      </c>
    </row>
    <row r="16" spans="1:20" x14ac:dyDescent="0.2">
      <c r="A16" s="2">
        <v>14</v>
      </c>
      <c r="B16" s="2">
        <v>0</v>
      </c>
      <c r="C16" s="2">
        <v>0</v>
      </c>
      <c r="D16" s="2">
        <v>0</v>
      </c>
      <c r="E16" s="2">
        <v>0</v>
      </c>
      <c r="G16" s="2">
        <v>14</v>
      </c>
      <c r="H16" s="2">
        <v>0</v>
      </c>
      <c r="I16" s="2">
        <v>0</v>
      </c>
      <c r="K16" s="2">
        <v>14</v>
      </c>
      <c r="L16" s="2">
        <v>0</v>
      </c>
      <c r="M16" s="2">
        <v>0</v>
      </c>
      <c r="O16" s="2">
        <v>14</v>
      </c>
      <c r="P16" s="2">
        <v>0</v>
      </c>
      <c r="Q16" s="2">
        <v>0</v>
      </c>
      <c r="S16" s="2">
        <v>14</v>
      </c>
      <c r="T16" s="2">
        <v>0</v>
      </c>
    </row>
    <row r="17" spans="1:20" x14ac:dyDescent="0.2">
      <c r="A17" s="2">
        <v>15</v>
      </c>
      <c r="B17" s="2">
        <v>0</v>
      </c>
      <c r="C17" s="2">
        <v>0</v>
      </c>
      <c r="D17" s="2">
        <v>0</v>
      </c>
      <c r="E17" s="2">
        <v>0</v>
      </c>
      <c r="G17" s="2">
        <v>15</v>
      </c>
      <c r="H17" s="2">
        <v>0</v>
      </c>
      <c r="I17" s="2">
        <v>0</v>
      </c>
      <c r="K17" s="2">
        <v>15</v>
      </c>
      <c r="L17" s="2">
        <v>0</v>
      </c>
      <c r="M17" s="2">
        <v>0</v>
      </c>
      <c r="O17" s="2">
        <v>15</v>
      </c>
      <c r="P17" s="2">
        <v>0</v>
      </c>
      <c r="Q17" s="2">
        <v>0</v>
      </c>
      <c r="S17" s="2">
        <v>15</v>
      </c>
      <c r="T17" s="2">
        <v>0</v>
      </c>
    </row>
    <row r="18" spans="1:20" x14ac:dyDescent="0.2">
      <c r="A18" s="2">
        <v>16</v>
      </c>
      <c r="B18" s="2">
        <v>0</v>
      </c>
      <c r="C18" s="2">
        <v>0</v>
      </c>
      <c r="D18" s="2">
        <v>0</v>
      </c>
      <c r="E18" s="2">
        <v>0</v>
      </c>
      <c r="G18" s="2">
        <v>16</v>
      </c>
      <c r="H18" s="2">
        <v>0</v>
      </c>
      <c r="I18" s="2">
        <v>0</v>
      </c>
      <c r="K18" s="2">
        <v>16</v>
      </c>
      <c r="L18" s="2">
        <v>0</v>
      </c>
      <c r="M18" s="2">
        <v>0</v>
      </c>
      <c r="O18" s="2">
        <v>16</v>
      </c>
      <c r="P18" s="2">
        <v>0</v>
      </c>
      <c r="Q18" s="2">
        <v>0</v>
      </c>
      <c r="S18" s="2">
        <v>16</v>
      </c>
      <c r="T18" s="2">
        <v>0</v>
      </c>
    </row>
    <row r="19" spans="1:20" x14ac:dyDescent="0.2">
      <c r="A19" s="2">
        <v>17</v>
      </c>
      <c r="B19" s="2">
        <v>0</v>
      </c>
      <c r="C19" s="2">
        <v>0</v>
      </c>
      <c r="D19" s="2">
        <v>0</v>
      </c>
      <c r="E19" s="2">
        <v>1</v>
      </c>
      <c r="G19" s="2">
        <v>17</v>
      </c>
      <c r="H19" s="2">
        <v>0</v>
      </c>
      <c r="I19" s="2">
        <v>0</v>
      </c>
      <c r="K19" s="2">
        <v>17</v>
      </c>
      <c r="L19" s="2">
        <v>0</v>
      </c>
      <c r="M19" s="2">
        <v>0</v>
      </c>
      <c r="O19" s="2">
        <v>17</v>
      </c>
      <c r="P19" s="2">
        <v>0</v>
      </c>
      <c r="Q19" s="2">
        <v>0</v>
      </c>
      <c r="S19" s="2">
        <v>17</v>
      </c>
      <c r="T19" s="2">
        <v>0</v>
      </c>
    </row>
    <row r="20" spans="1:20" x14ac:dyDescent="0.2">
      <c r="A20" s="2">
        <v>18</v>
      </c>
      <c r="B20" s="2">
        <v>0</v>
      </c>
      <c r="C20" s="2">
        <v>1</v>
      </c>
      <c r="D20" s="2">
        <v>0</v>
      </c>
      <c r="E20" s="2">
        <v>0</v>
      </c>
      <c r="G20" s="2">
        <v>18</v>
      </c>
      <c r="H20" s="2">
        <v>0</v>
      </c>
      <c r="I20" s="2">
        <v>0</v>
      </c>
      <c r="K20" s="2">
        <v>18</v>
      </c>
      <c r="L20" s="2">
        <v>0</v>
      </c>
      <c r="M20" s="2">
        <v>0</v>
      </c>
      <c r="O20" s="2">
        <v>18</v>
      </c>
      <c r="P20" s="2">
        <v>0</v>
      </c>
      <c r="Q20" s="2">
        <v>0</v>
      </c>
      <c r="S20" s="2">
        <v>18</v>
      </c>
      <c r="T20" s="2">
        <v>0</v>
      </c>
    </row>
    <row r="21" spans="1:20" x14ac:dyDescent="0.2">
      <c r="A21" s="2">
        <v>19</v>
      </c>
      <c r="B21" s="2">
        <v>0</v>
      </c>
      <c r="C21" s="2">
        <v>0</v>
      </c>
      <c r="D21" s="2">
        <v>0</v>
      </c>
      <c r="E21" s="2">
        <v>0</v>
      </c>
      <c r="G21" s="2">
        <v>19</v>
      </c>
      <c r="H21" s="2">
        <v>0</v>
      </c>
      <c r="I21" s="2">
        <v>0</v>
      </c>
      <c r="K21" s="2">
        <v>19</v>
      </c>
      <c r="L21" s="2">
        <v>0</v>
      </c>
      <c r="M21" s="2">
        <v>0</v>
      </c>
      <c r="O21" s="2">
        <v>19</v>
      </c>
      <c r="P21" s="2">
        <v>0</v>
      </c>
      <c r="Q21" s="2">
        <v>0</v>
      </c>
      <c r="S21" s="2">
        <v>19</v>
      </c>
      <c r="T21" s="2">
        <v>0</v>
      </c>
    </row>
    <row r="22" spans="1:20" x14ac:dyDescent="0.2">
      <c r="A22" s="2">
        <v>20</v>
      </c>
      <c r="B22" s="2">
        <v>0</v>
      </c>
      <c r="C22" s="2">
        <v>0</v>
      </c>
      <c r="D22" s="2">
        <v>0</v>
      </c>
      <c r="E22" s="2">
        <v>0</v>
      </c>
      <c r="G22" s="2">
        <v>20</v>
      </c>
      <c r="H22" s="2">
        <v>0</v>
      </c>
      <c r="I22" s="2">
        <v>0</v>
      </c>
      <c r="K22" s="2">
        <v>20</v>
      </c>
      <c r="L22" s="2">
        <v>0</v>
      </c>
      <c r="M22" s="2">
        <v>0</v>
      </c>
      <c r="O22" s="2">
        <v>20</v>
      </c>
      <c r="P22" s="2">
        <v>0</v>
      </c>
      <c r="Q22" s="2">
        <v>0</v>
      </c>
      <c r="S22" s="2">
        <v>20</v>
      </c>
      <c r="T22" s="2">
        <v>0</v>
      </c>
    </row>
    <row r="23" spans="1:20" x14ac:dyDescent="0.2">
      <c r="A23" s="2">
        <v>21</v>
      </c>
      <c r="B23" s="2">
        <v>1</v>
      </c>
      <c r="C23" s="2">
        <v>0</v>
      </c>
      <c r="D23" s="2">
        <v>0</v>
      </c>
      <c r="E23" s="2">
        <v>0</v>
      </c>
      <c r="G23" s="2">
        <v>21</v>
      </c>
      <c r="H23" s="2">
        <v>0</v>
      </c>
      <c r="I23" s="2">
        <v>0</v>
      </c>
      <c r="K23" s="2">
        <v>21</v>
      </c>
      <c r="L23" s="2">
        <v>0</v>
      </c>
      <c r="M23" s="2">
        <v>0</v>
      </c>
      <c r="O23" s="2">
        <v>21</v>
      </c>
      <c r="P23" s="2">
        <v>0</v>
      </c>
      <c r="Q23" s="2">
        <v>0</v>
      </c>
      <c r="S23" s="2">
        <v>21</v>
      </c>
      <c r="T23" s="2">
        <v>0</v>
      </c>
    </row>
    <row r="24" spans="1:20" x14ac:dyDescent="0.2">
      <c r="A24" s="2">
        <v>22</v>
      </c>
      <c r="B24" s="2">
        <v>0</v>
      </c>
      <c r="C24" s="2">
        <v>0</v>
      </c>
      <c r="D24" s="2">
        <v>0</v>
      </c>
      <c r="E24" s="2">
        <v>0</v>
      </c>
      <c r="G24" s="2">
        <v>22</v>
      </c>
      <c r="H24" s="2">
        <v>1</v>
      </c>
      <c r="I24" s="2">
        <v>0</v>
      </c>
      <c r="K24" s="2">
        <v>22</v>
      </c>
      <c r="L24" s="2">
        <v>0</v>
      </c>
      <c r="M24" s="2">
        <v>0</v>
      </c>
      <c r="O24" s="2">
        <v>22</v>
      </c>
      <c r="P24" s="2">
        <v>0</v>
      </c>
      <c r="Q24" s="2">
        <v>0</v>
      </c>
      <c r="S24" s="2">
        <v>22</v>
      </c>
      <c r="T24" s="2">
        <v>0</v>
      </c>
    </row>
    <row r="25" spans="1:20" x14ac:dyDescent="0.2">
      <c r="A25" s="2">
        <v>23</v>
      </c>
      <c r="B25" s="2">
        <v>0</v>
      </c>
      <c r="C25" s="2">
        <v>0</v>
      </c>
      <c r="D25" s="2">
        <v>0</v>
      </c>
      <c r="E25" s="2">
        <v>0</v>
      </c>
      <c r="G25" s="2">
        <v>23</v>
      </c>
      <c r="H25" s="2">
        <v>0</v>
      </c>
      <c r="I25" s="2">
        <v>0</v>
      </c>
      <c r="K25" s="2">
        <v>23</v>
      </c>
      <c r="L25" s="2">
        <v>0</v>
      </c>
      <c r="M25" s="2">
        <v>0</v>
      </c>
      <c r="O25" s="2">
        <v>23</v>
      </c>
      <c r="P25" s="2">
        <v>0</v>
      </c>
      <c r="Q25" s="2">
        <v>0</v>
      </c>
      <c r="S25" s="2">
        <v>23</v>
      </c>
      <c r="T25" s="2">
        <v>0</v>
      </c>
    </row>
    <row r="26" spans="1:20" x14ac:dyDescent="0.2">
      <c r="A26" s="2">
        <v>24</v>
      </c>
      <c r="B26" s="2">
        <v>0</v>
      </c>
      <c r="C26" s="2">
        <v>0</v>
      </c>
      <c r="D26" s="2">
        <v>0</v>
      </c>
      <c r="E26" s="2">
        <v>0</v>
      </c>
      <c r="G26" s="2">
        <v>24</v>
      </c>
      <c r="H26" s="2">
        <v>0</v>
      </c>
      <c r="I26" s="2">
        <v>0</v>
      </c>
      <c r="K26" s="2">
        <v>24</v>
      </c>
      <c r="L26" s="2">
        <v>0</v>
      </c>
      <c r="M26" s="2">
        <v>0</v>
      </c>
      <c r="O26" s="2">
        <v>24</v>
      </c>
      <c r="P26" s="2">
        <v>0</v>
      </c>
      <c r="Q26" s="2">
        <v>0</v>
      </c>
      <c r="S26" s="2">
        <v>24</v>
      </c>
      <c r="T26" s="2">
        <v>0</v>
      </c>
    </row>
    <row r="27" spans="1:20" x14ac:dyDescent="0.2">
      <c r="A27" s="2">
        <v>25</v>
      </c>
      <c r="B27" s="2">
        <v>0</v>
      </c>
      <c r="C27" s="2">
        <v>0</v>
      </c>
      <c r="D27" s="2">
        <v>1</v>
      </c>
      <c r="E27" s="2">
        <v>0</v>
      </c>
      <c r="G27" s="2">
        <v>25</v>
      </c>
      <c r="H27" s="2">
        <v>0</v>
      </c>
      <c r="I27" s="2">
        <v>0</v>
      </c>
      <c r="K27" s="2">
        <v>25</v>
      </c>
      <c r="L27" s="2">
        <v>0</v>
      </c>
      <c r="M27" s="2">
        <v>0</v>
      </c>
      <c r="O27" s="2">
        <v>25</v>
      </c>
      <c r="P27" s="2">
        <v>0</v>
      </c>
      <c r="Q27" s="2">
        <v>0</v>
      </c>
      <c r="S27" s="2">
        <v>25</v>
      </c>
      <c r="T27" s="2">
        <v>0</v>
      </c>
    </row>
    <row r="28" spans="1:20" x14ac:dyDescent="0.2">
      <c r="A28" s="2">
        <v>26</v>
      </c>
      <c r="B28" s="2">
        <v>0</v>
      </c>
      <c r="C28" s="2">
        <v>0</v>
      </c>
      <c r="D28" s="2">
        <v>0</v>
      </c>
      <c r="E28" s="2">
        <v>0</v>
      </c>
      <c r="G28" s="2">
        <v>26</v>
      </c>
      <c r="H28" s="2">
        <v>0</v>
      </c>
      <c r="I28" s="2">
        <v>0</v>
      </c>
      <c r="K28" s="2">
        <v>26</v>
      </c>
      <c r="L28" s="2">
        <v>0</v>
      </c>
      <c r="M28" s="2">
        <v>0</v>
      </c>
      <c r="O28" s="2">
        <v>26</v>
      </c>
      <c r="P28" s="2">
        <v>0</v>
      </c>
      <c r="Q28" s="2">
        <v>0</v>
      </c>
      <c r="S28" s="2">
        <v>26</v>
      </c>
      <c r="T28" s="2">
        <v>0</v>
      </c>
    </row>
    <row r="29" spans="1:20" x14ac:dyDescent="0.2">
      <c r="A29" s="2">
        <v>27</v>
      </c>
      <c r="B29" s="2">
        <v>0</v>
      </c>
      <c r="C29" s="2">
        <v>0</v>
      </c>
      <c r="D29" s="2">
        <v>0</v>
      </c>
      <c r="E29" s="2">
        <v>0</v>
      </c>
      <c r="G29" s="2">
        <v>27</v>
      </c>
      <c r="H29" s="2">
        <v>0</v>
      </c>
      <c r="I29" s="2">
        <v>0</v>
      </c>
      <c r="K29" s="2">
        <v>27</v>
      </c>
      <c r="L29" s="2">
        <v>0</v>
      </c>
      <c r="M29" s="2">
        <v>0</v>
      </c>
      <c r="O29" s="2">
        <v>27</v>
      </c>
      <c r="P29" s="2">
        <v>0</v>
      </c>
      <c r="Q29" s="2">
        <v>0</v>
      </c>
      <c r="S29" s="2">
        <v>27</v>
      </c>
      <c r="T29" s="2">
        <v>0</v>
      </c>
    </row>
    <row r="30" spans="1:20" x14ac:dyDescent="0.2">
      <c r="A30" s="2">
        <v>28</v>
      </c>
      <c r="B30" s="2">
        <v>0</v>
      </c>
      <c r="C30" s="2">
        <v>0</v>
      </c>
      <c r="D30" s="2">
        <v>0</v>
      </c>
      <c r="E30" s="2">
        <v>0</v>
      </c>
      <c r="G30" s="2">
        <v>28</v>
      </c>
      <c r="H30" s="2">
        <v>0</v>
      </c>
      <c r="I30" s="2">
        <v>0</v>
      </c>
      <c r="K30" s="2">
        <v>28</v>
      </c>
      <c r="L30" s="2">
        <v>0</v>
      </c>
      <c r="M30" s="2">
        <v>0</v>
      </c>
      <c r="O30" s="2">
        <v>28</v>
      </c>
      <c r="P30" s="2">
        <v>0</v>
      </c>
      <c r="Q30" s="2">
        <v>0</v>
      </c>
      <c r="S30" s="2">
        <v>28</v>
      </c>
      <c r="T30" s="2">
        <v>0</v>
      </c>
    </row>
    <row r="31" spans="1:20" x14ac:dyDescent="0.2">
      <c r="A31" s="2">
        <v>29</v>
      </c>
      <c r="B31" s="2">
        <v>0</v>
      </c>
      <c r="C31" s="2">
        <v>0</v>
      </c>
      <c r="D31" s="2">
        <v>0</v>
      </c>
      <c r="E31" s="2">
        <v>0</v>
      </c>
      <c r="G31" s="2">
        <v>29</v>
      </c>
      <c r="H31" s="2">
        <v>0</v>
      </c>
      <c r="I31" s="2">
        <v>0</v>
      </c>
      <c r="K31" s="2">
        <v>29</v>
      </c>
      <c r="L31" s="2">
        <v>0</v>
      </c>
      <c r="M31" s="2">
        <v>1</v>
      </c>
      <c r="O31" s="2">
        <v>29</v>
      </c>
      <c r="P31" s="2">
        <v>0</v>
      </c>
      <c r="Q31" s="2">
        <v>0</v>
      </c>
      <c r="S31" s="2">
        <v>29</v>
      </c>
      <c r="T31" s="2">
        <v>0</v>
      </c>
    </row>
    <row r="32" spans="1:20" x14ac:dyDescent="0.2">
      <c r="A32" s="2">
        <v>30</v>
      </c>
      <c r="B32" s="2">
        <v>0</v>
      </c>
      <c r="C32" s="2">
        <v>0</v>
      </c>
      <c r="D32" s="2">
        <v>0</v>
      </c>
      <c r="E32" s="2">
        <v>0</v>
      </c>
      <c r="G32" s="2">
        <v>30</v>
      </c>
      <c r="H32" s="2">
        <v>0</v>
      </c>
      <c r="I32" s="2">
        <v>0</v>
      </c>
      <c r="K32" s="2">
        <v>30</v>
      </c>
      <c r="L32" s="2">
        <v>0</v>
      </c>
      <c r="M32" s="2">
        <v>0</v>
      </c>
      <c r="O32" s="2">
        <v>30</v>
      </c>
      <c r="P32" s="2">
        <v>0</v>
      </c>
      <c r="Q32" s="2">
        <v>0</v>
      </c>
      <c r="S32" s="2">
        <v>30</v>
      </c>
      <c r="T32" s="2">
        <v>0</v>
      </c>
    </row>
    <row r="33" spans="1:20" x14ac:dyDescent="0.2">
      <c r="A33" s="2">
        <v>31</v>
      </c>
      <c r="B33" s="2">
        <v>0</v>
      </c>
      <c r="C33" s="2">
        <v>0</v>
      </c>
      <c r="D33" s="2">
        <v>0</v>
      </c>
      <c r="E33" s="2">
        <v>0</v>
      </c>
      <c r="G33" s="2">
        <v>31</v>
      </c>
      <c r="H33" s="2">
        <v>0</v>
      </c>
      <c r="I33" s="2">
        <v>0</v>
      </c>
      <c r="K33" s="2">
        <v>31</v>
      </c>
      <c r="L33" s="2">
        <v>0</v>
      </c>
      <c r="M33" s="2">
        <v>0</v>
      </c>
      <c r="O33" s="2">
        <v>31</v>
      </c>
      <c r="P33" s="2">
        <v>0</v>
      </c>
      <c r="Q33" s="2">
        <v>0</v>
      </c>
      <c r="S33" s="2">
        <v>31</v>
      </c>
      <c r="T33" s="2">
        <v>0</v>
      </c>
    </row>
    <row r="34" spans="1:20" x14ac:dyDescent="0.2">
      <c r="A34" s="2">
        <v>32</v>
      </c>
      <c r="B34" s="2">
        <v>0</v>
      </c>
      <c r="C34" s="2">
        <v>0</v>
      </c>
      <c r="D34" s="2">
        <v>0</v>
      </c>
      <c r="E34" s="2">
        <v>0</v>
      </c>
      <c r="G34" s="2">
        <v>32</v>
      </c>
      <c r="H34" s="2">
        <v>0</v>
      </c>
      <c r="I34" s="2">
        <v>0</v>
      </c>
      <c r="K34" s="2">
        <v>32</v>
      </c>
      <c r="L34" s="2">
        <v>0</v>
      </c>
      <c r="M34" s="2">
        <v>0</v>
      </c>
      <c r="O34" s="2">
        <v>32</v>
      </c>
      <c r="P34" s="2">
        <v>0</v>
      </c>
      <c r="Q34" s="2">
        <v>0</v>
      </c>
      <c r="S34" s="2">
        <v>32</v>
      </c>
      <c r="T34" s="2">
        <v>0</v>
      </c>
    </row>
    <row r="35" spans="1:20" x14ac:dyDescent="0.2">
      <c r="A35" s="2">
        <v>33</v>
      </c>
      <c r="B35" s="2">
        <v>0</v>
      </c>
      <c r="C35" s="2">
        <v>0</v>
      </c>
      <c r="D35" s="2">
        <v>0</v>
      </c>
      <c r="E35" s="2">
        <v>0</v>
      </c>
      <c r="G35" s="2">
        <v>33</v>
      </c>
      <c r="H35" s="2">
        <v>0</v>
      </c>
      <c r="I35" s="2">
        <v>1</v>
      </c>
      <c r="K35" s="2">
        <v>33</v>
      </c>
      <c r="L35" s="2">
        <v>0</v>
      </c>
      <c r="M35" s="2">
        <v>0</v>
      </c>
      <c r="O35" s="2">
        <v>33</v>
      </c>
      <c r="P35" s="2">
        <v>0</v>
      </c>
      <c r="Q35" s="2">
        <v>1</v>
      </c>
      <c r="S35" s="2">
        <v>33</v>
      </c>
      <c r="T35" s="2">
        <v>0</v>
      </c>
    </row>
  </sheetData>
  <mergeCells count="5">
    <mergeCell ref="A1:D1"/>
    <mergeCell ref="G1:I1"/>
    <mergeCell ref="K1:M1"/>
    <mergeCell ref="O1:Q1"/>
    <mergeCell ref="S1:T1"/>
  </mergeCells>
  <phoneticPr fontId="10" type="noConversion"/>
  <conditionalFormatting sqref="B3:E35">
    <cfRule type="cellIs" dxfId="4" priority="5" operator="equal">
      <formula>1</formula>
    </cfRule>
  </conditionalFormatting>
  <conditionalFormatting sqref="H3:I35">
    <cfRule type="cellIs" dxfId="3" priority="4" operator="equal">
      <formula>1</formula>
    </cfRule>
  </conditionalFormatting>
  <conditionalFormatting sqref="L3:M35">
    <cfRule type="cellIs" dxfId="2" priority="3" operator="equal">
      <formula>1</formula>
    </cfRule>
  </conditionalFormatting>
  <conditionalFormatting sqref="P3:Q35">
    <cfRule type="cellIs" dxfId="1" priority="2" operator="equal">
      <formula>1</formula>
    </cfRule>
  </conditionalFormatting>
  <conditionalFormatting sqref="T3:T35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6BF21-6DD2-4705-8A4C-5D27783AF168}">
  <dimension ref="A1:AI10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25" sqref="H25"/>
    </sheetView>
  </sheetViews>
  <sheetFormatPr defaultRowHeight="14.25" x14ac:dyDescent="0.2"/>
  <cols>
    <col min="1" max="1" width="14.5" customWidth="1"/>
  </cols>
  <sheetData>
    <row r="1" spans="1:33" ht="25.5" x14ac:dyDescent="0.2">
      <c r="A1" s="7" t="s">
        <v>126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2" t="s">
        <v>101</v>
      </c>
      <c r="J1" s="2" t="s">
        <v>102</v>
      </c>
      <c r="K1" s="2" t="s">
        <v>103</v>
      </c>
      <c r="L1" s="2" t="s">
        <v>104</v>
      </c>
      <c r="M1" s="2" t="s">
        <v>105</v>
      </c>
      <c r="N1" s="2" t="s">
        <v>106</v>
      </c>
      <c r="O1" s="2" t="s">
        <v>107</v>
      </c>
      <c r="P1" s="2" t="s">
        <v>108</v>
      </c>
      <c r="Q1" s="2" t="s">
        <v>109</v>
      </c>
      <c r="R1" s="2" t="s">
        <v>110</v>
      </c>
      <c r="S1" s="2" t="s">
        <v>111</v>
      </c>
      <c r="T1" s="2" t="s">
        <v>112</v>
      </c>
      <c r="U1" s="2" t="s">
        <v>113</v>
      </c>
      <c r="V1" s="2" t="s">
        <v>114</v>
      </c>
      <c r="W1" s="2" t="s">
        <v>115</v>
      </c>
      <c r="X1" s="2" t="s">
        <v>116</v>
      </c>
      <c r="Y1" s="2" t="s">
        <v>117</v>
      </c>
      <c r="Z1" s="2" t="s">
        <v>118</v>
      </c>
      <c r="AA1" s="2" t="s">
        <v>119</v>
      </c>
      <c r="AB1" s="2" t="s">
        <v>120</v>
      </c>
      <c r="AC1" s="2" t="s">
        <v>121</v>
      </c>
      <c r="AD1" s="2" t="s">
        <v>122</v>
      </c>
      <c r="AE1" s="2" t="s">
        <v>123</v>
      </c>
      <c r="AF1" s="2" t="s">
        <v>124</v>
      </c>
      <c r="AG1" s="2" t="s">
        <v>125</v>
      </c>
    </row>
    <row r="2" spans="1:33" x14ac:dyDescent="0.2">
      <c r="A2" s="2" t="s">
        <v>61</v>
      </c>
      <c r="B2" s="2">
        <v>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</row>
    <row r="3" spans="1:33" x14ac:dyDescent="0.2">
      <c r="A3" s="2" t="s">
        <v>62</v>
      </c>
      <c r="B3" s="8">
        <v>-1</v>
      </c>
      <c r="C3" s="8">
        <v>1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1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</row>
    <row r="4" spans="1:33" x14ac:dyDescent="0.2">
      <c r="A4" s="2" t="s">
        <v>63</v>
      </c>
      <c r="B4" s="8">
        <v>0</v>
      </c>
      <c r="C4" s="8">
        <v>-1</v>
      </c>
      <c r="D4" s="8">
        <v>1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1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</row>
    <row r="5" spans="1:33" x14ac:dyDescent="0.2">
      <c r="A5" s="2" t="s">
        <v>64</v>
      </c>
      <c r="B5" s="8">
        <v>0</v>
      </c>
      <c r="C5" s="8">
        <v>0</v>
      </c>
      <c r="D5" s="8">
        <v>-1</v>
      </c>
      <c r="E5" s="8">
        <v>1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</row>
    <row r="6" spans="1:33" x14ac:dyDescent="0.2">
      <c r="A6" s="2" t="s">
        <v>65</v>
      </c>
      <c r="B6" s="8">
        <v>0</v>
      </c>
      <c r="C6" s="8">
        <v>0</v>
      </c>
      <c r="D6" s="8">
        <v>0</v>
      </c>
      <c r="E6" s="8">
        <v>-1</v>
      </c>
      <c r="F6" s="8">
        <v>1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</row>
    <row r="7" spans="1:33" x14ac:dyDescent="0.2">
      <c r="A7" s="2" t="s">
        <v>66</v>
      </c>
      <c r="B7" s="8">
        <v>0</v>
      </c>
      <c r="C7" s="8">
        <v>0</v>
      </c>
      <c r="D7" s="8">
        <v>0</v>
      </c>
      <c r="E7" s="8">
        <v>0</v>
      </c>
      <c r="F7" s="8">
        <v>-1</v>
      </c>
      <c r="G7" s="8">
        <v>1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1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</row>
    <row r="8" spans="1:33" x14ac:dyDescent="0.2">
      <c r="A8" s="2" t="s">
        <v>67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-1</v>
      </c>
      <c r="H8" s="8">
        <v>1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</row>
    <row r="9" spans="1:33" x14ac:dyDescent="0.2">
      <c r="A9" s="2" t="s">
        <v>68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-1</v>
      </c>
      <c r="I9" s="8">
        <v>1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</row>
    <row r="10" spans="1:33" x14ac:dyDescent="0.2">
      <c r="A10" s="2" t="s">
        <v>69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-1</v>
      </c>
      <c r="J10" s="8">
        <v>1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</row>
    <row r="11" spans="1:33" x14ac:dyDescent="0.2">
      <c r="A11" s="2" t="s">
        <v>70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-1</v>
      </c>
      <c r="K11" s="8">
        <v>1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</row>
    <row r="12" spans="1:33" x14ac:dyDescent="0.2">
      <c r="A12" s="2" t="s">
        <v>71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-1</v>
      </c>
      <c r="L12" s="8">
        <v>1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</row>
    <row r="13" spans="1:33" x14ac:dyDescent="0.2">
      <c r="A13" s="2" t="s">
        <v>72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-1</v>
      </c>
      <c r="M13" s="8">
        <v>1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</row>
    <row r="14" spans="1:33" x14ac:dyDescent="0.2">
      <c r="A14" s="2" t="s">
        <v>73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-1</v>
      </c>
      <c r="N14" s="8">
        <v>1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</row>
    <row r="15" spans="1:33" x14ac:dyDescent="0.2">
      <c r="A15" s="2" t="s">
        <v>74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-1</v>
      </c>
      <c r="O15" s="8">
        <v>1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</row>
    <row r="16" spans="1:33" x14ac:dyDescent="0.2">
      <c r="A16" s="2" t="s">
        <v>75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-1</v>
      </c>
      <c r="P16" s="8">
        <v>1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</row>
    <row r="17" spans="1:33" x14ac:dyDescent="0.2">
      <c r="A17" s="2" t="s">
        <v>76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-1</v>
      </c>
      <c r="Q17" s="8">
        <v>1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</row>
    <row r="18" spans="1:33" x14ac:dyDescent="0.2">
      <c r="A18" s="2" t="s">
        <v>77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-1</v>
      </c>
      <c r="R18" s="8">
        <v>1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</row>
    <row r="19" spans="1:33" x14ac:dyDescent="0.2">
      <c r="A19" s="2" t="s">
        <v>78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-1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</row>
    <row r="20" spans="1:33" x14ac:dyDescent="0.2">
      <c r="A20" s="2" t="s">
        <v>79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-1</v>
      </c>
      <c r="T20" s="8">
        <v>1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</row>
    <row r="21" spans="1:33" x14ac:dyDescent="0.2">
      <c r="A21" s="2" t="s">
        <v>80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-1</v>
      </c>
      <c r="U21" s="8">
        <v>1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</row>
    <row r="22" spans="1:33" x14ac:dyDescent="0.2">
      <c r="A22" s="2" t="s">
        <v>81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-1</v>
      </c>
      <c r="V22" s="8">
        <v>1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</row>
    <row r="23" spans="1:33" x14ac:dyDescent="0.2">
      <c r="A23" s="2" t="s">
        <v>82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-1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</row>
    <row r="24" spans="1:33" x14ac:dyDescent="0.2">
      <c r="A24" s="2" t="s">
        <v>83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-1</v>
      </c>
      <c r="X24" s="8">
        <v>1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</row>
    <row r="25" spans="1:33" x14ac:dyDescent="0.2">
      <c r="A25" s="2" t="s">
        <v>84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-1</v>
      </c>
      <c r="Y25" s="8">
        <v>1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</row>
    <row r="26" spans="1:33" x14ac:dyDescent="0.2">
      <c r="A26" s="2" t="s">
        <v>85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-1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</row>
    <row r="27" spans="1:33" x14ac:dyDescent="0.2">
      <c r="A27" s="2" t="s">
        <v>86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-1</v>
      </c>
      <c r="AA27" s="8">
        <v>1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</row>
    <row r="28" spans="1:33" x14ac:dyDescent="0.2">
      <c r="A28" s="2" t="s">
        <v>87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-1</v>
      </c>
      <c r="AB28" s="8">
        <v>1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</row>
    <row r="29" spans="1:33" x14ac:dyDescent="0.2">
      <c r="A29" s="2" t="s">
        <v>88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-1</v>
      </c>
      <c r="AC29" s="8">
        <v>1</v>
      </c>
      <c r="AD29" s="8">
        <v>0</v>
      </c>
      <c r="AE29" s="8">
        <v>0</v>
      </c>
      <c r="AF29" s="8">
        <v>0</v>
      </c>
      <c r="AG29" s="8">
        <v>0</v>
      </c>
    </row>
    <row r="30" spans="1:33" x14ac:dyDescent="0.2">
      <c r="A30" s="2" t="s">
        <v>89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-1</v>
      </c>
      <c r="AD30" s="8">
        <v>1</v>
      </c>
      <c r="AE30" s="8">
        <v>0</v>
      </c>
      <c r="AF30" s="8">
        <v>0</v>
      </c>
      <c r="AG30" s="8">
        <v>0</v>
      </c>
    </row>
    <row r="31" spans="1:33" x14ac:dyDescent="0.2">
      <c r="A31" s="2" t="s">
        <v>90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-1</v>
      </c>
      <c r="AE31" s="8">
        <v>1</v>
      </c>
      <c r="AF31" s="8">
        <v>0</v>
      </c>
      <c r="AG31" s="8">
        <v>0</v>
      </c>
    </row>
    <row r="32" spans="1:33" x14ac:dyDescent="0.2">
      <c r="A32" s="2" t="s">
        <v>91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-1</v>
      </c>
      <c r="AF32" s="8">
        <v>1</v>
      </c>
      <c r="AG32" s="8">
        <v>0</v>
      </c>
    </row>
    <row r="33" spans="1:33" x14ac:dyDescent="0.2">
      <c r="A33" s="2" t="s">
        <v>92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-1</v>
      </c>
      <c r="AG33" s="8">
        <v>1</v>
      </c>
    </row>
    <row r="34" spans="1:33" x14ac:dyDescent="0.2">
      <c r="A34" s="2" t="s">
        <v>93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-1</v>
      </c>
    </row>
    <row r="35" spans="1:33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7" spans="1:33" ht="25.5" x14ac:dyDescent="0.2">
      <c r="A37" s="7" t="s">
        <v>127</v>
      </c>
      <c r="B37" s="2" t="s">
        <v>128</v>
      </c>
      <c r="C37" s="2" t="s">
        <v>63</v>
      </c>
      <c r="D37" s="2" t="s">
        <v>64</v>
      </c>
      <c r="E37" s="2" t="s">
        <v>65</v>
      </c>
      <c r="F37" s="2" t="s">
        <v>66</v>
      </c>
      <c r="G37" s="2" t="s">
        <v>67</v>
      </c>
      <c r="H37" s="2" t="s">
        <v>68</v>
      </c>
      <c r="I37" s="2" t="s">
        <v>69</v>
      </c>
      <c r="J37" s="2" t="s">
        <v>70</v>
      </c>
      <c r="K37" s="2" t="s">
        <v>71</v>
      </c>
      <c r="L37" s="2" t="s">
        <v>72</v>
      </c>
      <c r="M37" s="2" t="s">
        <v>73</v>
      </c>
      <c r="N37" s="2" t="s">
        <v>74</v>
      </c>
      <c r="O37" s="2" t="s">
        <v>75</v>
      </c>
      <c r="P37" s="2" t="s">
        <v>76</v>
      </c>
      <c r="Q37" s="2" t="s">
        <v>77</v>
      </c>
      <c r="R37" s="2" t="s">
        <v>78</v>
      </c>
      <c r="S37" s="2" t="s">
        <v>79</v>
      </c>
      <c r="T37" s="2" t="s">
        <v>80</v>
      </c>
      <c r="U37" s="2" t="s">
        <v>81</v>
      </c>
      <c r="V37" s="2" t="s">
        <v>82</v>
      </c>
      <c r="W37" s="2" t="s">
        <v>83</v>
      </c>
      <c r="X37" s="2" t="s">
        <v>84</v>
      </c>
      <c r="Y37" s="2" t="s">
        <v>85</v>
      </c>
      <c r="Z37" s="2" t="s">
        <v>86</v>
      </c>
      <c r="AA37" s="2" t="s">
        <v>87</v>
      </c>
      <c r="AB37" s="2" t="s">
        <v>88</v>
      </c>
      <c r="AC37" s="2" t="s">
        <v>89</v>
      </c>
      <c r="AD37" s="2" t="s">
        <v>90</v>
      </c>
      <c r="AE37" s="2" t="s">
        <v>91</v>
      </c>
      <c r="AF37" s="2" t="s">
        <v>92</v>
      </c>
      <c r="AG37" s="2" t="s">
        <v>93</v>
      </c>
    </row>
    <row r="38" spans="1:33" x14ac:dyDescent="0.2">
      <c r="A38" s="2" t="s">
        <v>94</v>
      </c>
      <c r="B38" s="2" cm="1">
        <f t="array" ref="B38:AG69">MINVERSE(B3:AG34)</f>
        <v>-1</v>
      </c>
      <c r="C38" s="2">
        <v>-1</v>
      </c>
      <c r="D38" s="2">
        <v>-1</v>
      </c>
      <c r="E38" s="2">
        <v>-1</v>
      </c>
      <c r="F38" s="2">
        <v>-1</v>
      </c>
      <c r="G38" s="2">
        <v>-1</v>
      </c>
      <c r="H38" s="2">
        <v>-1</v>
      </c>
      <c r="I38" s="2">
        <v>-1</v>
      </c>
      <c r="J38" s="2">
        <v>-1</v>
      </c>
      <c r="K38" s="2">
        <v>-1</v>
      </c>
      <c r="L38" s="2">
        <v>-1</v>
      </c>
      <c r="M38" s="2">
        <v>-1</v>
      </c>
      <c r="N38" s="2">
        <v>-1</v>
      </c>
      <c r="O38" s="2">
        <v>-1</v>
      </c>
      <c r="P38" s="2">
        <v>-1</v>
      </c>
      <c r="Q38" s="2">
        <v>-1</v>
      </c>
      <c r="R38" s="2">
        <v>-1</v>
      </c>
      <c r="S38" s="2">
        <v>-1</v>
      </c>
      <c r="T38" s="2">
        <v>-1</v>
      </c>
      <c r="U38" s="2">
        <v>-1</v>
      </c>
      <c r="V38" s="2">
        <v>-1</v>
      </c>
      <c r="W38" s="2">
        <v>-1</v>
      </c>
      <c r="X38" s="2">
        <v>-1</v>
      </c>
      <c r="Y38" s="2">
        <v>-1</v>
      </c>
      <c r="Z38" s="2">
        <v>-1</v>
      </c>
      <c r="AA38" s="2">
        <v>-1</v>
      </c>
      <c r="AB38" s="2">
        <v>-1</v>
      </c>
      <c r="AC38" s="2">
        <v>-1</v>
      </c>
      <c r="AD38" s="2">
        <v>-1</v>
      </c>
      <c r="AE38" s="2">
        <v>-1</v>
      </c>
      <c r="AF38" s="2">
        <v>-1</v>
      </c>
      <c r="AG38" s="2">
        <v>-1</v>
      </c>
    </row>
    <row r="39" spans="1:33" x14ac:dyDescent="0.2">
      <c r="A39" s="2" t="s">
        <v>95</v>
      </c>
      <c r="B39" s="2">
        <v>0</v>
      </c>
      <c r="C39" s="2">
        <v>-1</v>
      </c>
      <c r="D39" s="2">
        <v>-1</v>
      </c>
      <c r="E39" s="2">
        <v>-1</v>
      </c>
      <c r="F39" s="2">
        <v>-1</v>
      </c>
      <c r="G39" s="2">
        <v>-1</v>
      </c>
      <c r="H39" s="2">
        <v>-1</v>
      </c>
      <c r="I39" s="2">
        <v>-1</v>
      </c>
      <c r="J39" s="2">
        <v>-1</v>
      </c>
      <c r="K39" s="2">
        <v>-1</v>
      </c>
      <c r="L39" s="2">
        <v>-1</v>
      </c>
      <c r="M39" s="2">
        <v>-1</v>
      </c>
      <c r="N39" s="2">
        <v>-1</v>
      </c>
      <c r="O39" s="2">
        <v>-1</v>
      </c>
      <c r="P39" s="2">
        <v>-1</v>
      </c>
      <c r="Q39" s="2">
        <v>-1</v>
      </c>
      <c r="R39" s="2">
        <v>-1</v>
      </c>
      <c r="S39" s="2">
        <v>0</v>
      </c>
      <c r="T39" s="2">
        <v>0</v>
      </c>
      <c r="U39" s="2">
        <v>0</v>
      </c>
      <c r="V39" s="2">
        <v>0</v>
      </c>
      <c r="W39" s="2">
        <v>-1</v>
      </c>
      <c r="X39" s="2">
        <v>-1</v>
      </c>
      <c r="Y39" s="2">
        <v>-1</v>
      </c>
      <c r="Z39" s="2">
        <v>-1</v>
      </c>
      <c r="AA39" s="2">
        <v>-1</v>
      </c>
      <c r="AB39" s="2">
        <v>-1</v>
      </c>
      <c r="AC39" s="2">
        <v>-1</v>
      </c>
      <c r="AD39" s="2">
        <v>-1</v>
      </c>
      <c r="AE39" s="2">
        <v>-1</v>
      </c>
      <c r="AF39" s="2">
        <v>-1</v>
      </c>
      <c r="AG39" s="2">
        <v>-1</v>
      </c>
    </row>
    <row r="40" spans="1:33" x14ac:dyDescent="0.2">
      <c r="A40" s="2" t="s">
        <v>96</v>
      </c>
      <c r="B40" s="2">
        <v>0</v>
      </c>
      <c r="C40" s="2">
        <v>0</v>
      </c>
      <c r="D40" s="2">
        <v>-1</v>
      </c>
      <c r="E40" s="2">
        <v>-1</v>
      </c>
      <c r="F40" s="2">
        <v>-1</v>
      </c>
      <c r="G40" s="2">
        <v>-1</v>
      </c>
      <c r="H40" s="2">
        <v>-1</v>
      </c>
      <c r="I40" s="2">
        <v>-1</v>
      </c>
      <c r="J40" s="2">
        <v>-1</v>
      </c>
      <c r="K40" s="2">
        <v>-1</v>
      </c>
      <c r="L40" s="2">
        <v>-1</v>
      </c>
      <c r="M40" s="2">
        <v>-1</v>
      </c>
      <c r="N40" s="2">
        <v>-1</v>
      </c>
      <c r="O40" s="2">
        <v>-1</v>
      </c>
      <c r="P40" s="2">
        <v>-1</v>
      </c>
      <c r="Q40" s="2">
        <v>-1</v>
      </c>
      <c r="R40" s="2">
        <v>-1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-1</v>
      </c>
      <c r="AA40" s="2">
        <v>-1</v>
      </c>
      <c r="AB40" s="2">
        <v>-1</v>
      </c>
      <c r="AC40" s="2">
        <v>-1</v>
      </c>
      <c r="AD40" s="2">
        <v>-1</v>
      </c>
      <c r="AE40" s="2">
        <v>-1</v>
      </c>
      <c r="AF40" s="2">
        <v>-1</v>
      </c>
      <c r="AG40" s="2">
        <v>-1</v>
      </c>
    </row>
    <row r="41" spans="1:33" x14ac:dyDescent="0.2">
      <c r="A41" s="2" t="s">
        <v>97</v>
      </c>
      <c r="B41" s="2">
        <v>0</v>
      </c>
      <c r="C41" s="2">
        <v>0</v>
      </c>
      <c r="D41" s="2">
        <v>0</v>
      </c>
      <c r="E41" s="2">
        <v>-1</v>
      </c>
      <c r="F41" s="2">
        <v>-1</v>
      </c>
      <c r="G41" s="2">
        <v>-1</v>
      </c>
      <c r="H41" s="2">
        <v>-1</v>
      </c>
      <c r="I41" s="2">
        <v>-1</v>
      </c>
      <c r="J41" s="2">
        <v>-1</v>
      </c>
      <c r="K41" s="2">
        <v>-1</v>
      </c>
      <c r="L41" s="2">
        <v>-1</v>
      </c>
      <c r="M41" s="2">
        <v>-1</v>
      </c>
      <c r="N41" s="2">
        <v>-1</v>
      </c>
      <c r="O41" s="2">
        <v>-1</v>
      </c>
      <c r="P41" s="2">
        <v>-1</v>
      </c>
      <c r="Q41" s="2">
        <v>-1</v>
      </c>
      <c r="R41" s="2">
        <v>-1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-1</v>
      </c>
      <c r="AA41" s="2">
        <v>-1</v>
      </c>
      <c r="AB41" s="2">
        <v>-1</v>
      </c>
      <c r="AC41" s="2">
        <v>-1</v>
      </c>
      <c r="AD41" s="2">
        <v>-1</v>
      </c>
      <c r="AE41" s="2">
        <v>-1</v>
      </c>
      <c r="AF41" s="2">
        <v>-1</v>
      </c>
      <c r="AG41" s="2">
        <v>-1</v>
      </c>
    </row>
    <row r="42" spans="1:33" x14ac:dyDescent="0.2">
      <c r="A42" s="2" t="s">
        <v>98</v>
      </c>
      <c r="B42" s="2">
        <v>0</v>
      </c>
      <c r="C42" s="2">
        <v>0</v>
      </c>
      <c r="D42" s="2">
        <v>0</v>
      </c>
      <c r="E42" s="2">
        <v>0</v>
      </c>
      <c r="F42" s="2">
        <v>-1</v>
      </c>
      <c r="G42" s="2">
        <v>-1</v>
      </c>
      <c r="H42" s="2">
        <v>-1</v>
      </c>
      <c r="I42" s="2">
        <v>-1</v>
      </c>
      <c r="J42" s="2">
        <v>-1</v>
      </c>
      <c r="K42" s="2">
        <v>-1</v>
      </c>
      <c r="L42" s="2">
        <v>-1</v>
      </c>
      <c r="M42" s="2">
        <v>-1</v>
      </c>
      <c r="N42" s="2">
        <v>-1</v>
      </c>
      <c r="O42" s="2">
        <v>-1</v>
      </c>
      <c r="P42" s="2">
        <v>-1</v>
      </c>
      <c r="Q42" s="2">
        <v>-1</v>
      </c>
      <c r="R42" s="2">
        <v>-1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-1</v>
      </c>
      <c r="AA42" s="2">
        <v>-1</v>
      </c>
      <c r="AB42" s="2">
        <v>-1</v>
      </c>
      <c r="AC42" s="2">
        <v>-1</v>
      </c>
      <c r="AD42" s="2">
        <v>-1</v>
      </c>
      <c r="AE42" s="2">
        <v>-1</v>
      </c>
      <c r="AF42" s="2">
        <v>-1</v>
      </c>
      <c r="AG42" s="2">
        <v>-1</v>
      </c>
    </row>
    <row r="43" spans="1:33" x14ac:dyDescent="0.2">
      <c r="A43" s="2" t="s">
        <v>99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-1</v>
      </c>
      <c r="H43" s="2">
        <v>-1</v>
      </c>
      <c r="I43" s="2">
        <v>-1</v>
      </c>
      <c r="J43" s="2">
        <v>-1</v>
      </c>
      <c r="K43" s="2">
        <v>-1</v>
      </c>
      <c r="L43" s="2">
        <v>-1</v>
      </c>
      <c r="M43" s="2">
        <v>-1</v>
      </c>
      <c r="N43" s="2">
        <v>-1</v>
      </c>
      <c r="O43" s="2">
        <v>-1</v>
      </c>
      <c r="P43" s="2">
        <v>-1</v>
      </c>
      <c r="Q43" s="2">
        <v>-1</v>
      </c>
      <c r="R43" s="2">
        <v>-1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</row>
    <row r="44" spans="1:33" x14ac:dyDescent="0.2">
      <c r="A44" s="2" t="s">
        <v>100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-1</v>
      </c>
      <c r="I44" s="2">
        <v>-1</v>
      </c>
      <c r="J44" s="2">
        <v>-1</v>
      </c>
      <c r="K44" s="2">
        <v>-1</v>
      </c>
      <c r="L44" s="2">
        <v>-1</v>
      </c>
      <c r="M44" s="2">
        <v>-1</v>
      </c>
      <c r="N44" s="2">
        <v>-1</v>
      </c>
      <c r="O44" s="2">
        <v>-1</v>
      </c>
      <c r="P44" s="2">
        <v>-1</v>
      </c>
      <c r="Q44" s="2">
        <v>-1</v>
      </c>
      <c r="R44" s="2">
        <v>-1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</row>
    <row r="45" spans="1:33" x14ac:dyDescent="0.2">
      <c r="A45" s="2" t="s">
        <v>101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-1</v>
      </c>
      <c r="J45" s="2">
        <v>-1</v>
      </c>
      <c r="K45" s="2">
        <v>-1</v>
      </c>
      <c r="L45" s="2">
        <v>-1</v>
      </c>
      <c r="M45" s="2">
        <v>-1</v>
      </c>
      <c r="N45" s="2">
        <v>-1</v>
      </c>
      <c r="O45" s="2">
        <v>-1</v>
      </c>
      <c r="P45" s="2">
        <v>-1</v>
      </c>
      <c r="Q45" s="2">
        <v>-1</v>
      </c>
      <c r="R45" s="2">
        <v>-1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</row>
    <row r="46" spans="1:33" x14ac:dyDescent="0.2">
      <c r="A46" s="2" t="s">
        <v>102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-1</v>
      </c>
      <c r="K46" s="2">
        <v>-1</v>
      </c>
      <c r="L46" s="2">
        <v>-1</v>
      </c>
      <c r="M46" s="2">
        <v>-1</v>
      </c>
      <c r="N46" s="2">
        <v>-1</v>
      </c>
      <c r="O46" s="2">
        <v>-1</v>
      </c>
      <c r="P46" s="2">
        <v>-1</v>
      </c>
      <c r="Q46" s="2">
        <v>-1</v>
      </c>
      <c r="R46" s="2">
        <v>-1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</row>
    <row r="47" spans="1:33" x14ac:dyDescent="0.2">
      <c r="A47" s="2" t="s">
        <v>103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-1</v>
      </c>
      <c r="L47" s="2">
        <v>-1</v>
      </c>
      <c r="M47" s="2">
        <v>-1</v>
      </c>
      <c r="N47" s="2">
        <v>-1</v>
      </c>
      <c r="O47" s="2">
        <v>-1</v>
      </c>
      <c r="P47" s="2">
        <v>-1</v>
      </c>
      <c r="Q47" s="2">
        <v>-1</v>
      </c>
      <c r="R47" s="2">
        <v>-1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</row>
    <row r="48" spans="1:33" x14ac:dyDescent="0.2">
      <c r="A48" s="2" t="s">
        <v>104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-1</v>
      </c>
      <c r="M48" s="2">
        <v>-1</v>
      </c>
      <c r="N48" s="2">
        <v>-1</v>
      </c>
      <c r="O48" s="2">
        <v>-1</v>
      </c>
      <c r="P48" s="2">
        <v>-1</v>
      </c>
      <c r="Q48" s="2">
        <v>-1</v>
      </c>
      <c r="R48" s="2">
        <v>-1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</row>
    <row r="49" spans="1:33" x14ac:dyDescent="0.2">
      <c r="A49" s="2" t="s">
        <v>105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-1</v>
      </c>
      <c r="N49" s="2">
        <v>-1</v>
      </c>
      <c r="O49" s="2">
        <v>-1</v>
      </c>
      <c r="P49" s="2">
        <v>-1</v>
      </c>
      <c r="Q49" s="2">
        <v>-1</v>
      </c>
      <c r="R49" s="2">
        <v>-1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</row>
    <row r="50" spans="1:33" x14ac:dyDescent="0.2">
      <c r="A50" s="2" t="s">
        <v>106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-1</v>
      </c>
      <c r="O50" s="2">
        <v>-1</v>
      </c>
      <c r="P50" s="2">
        <v>-1</v>
      </c>
      <c r="Q50" s="2">
        <v>-1</v>
      </c>
      <c r="R50" s="2">
        <v>-1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</row>
    <row r="51" spans="1:33" x14ac:dyDescent="0.2">
      <c r="A51" s="2" t="s">
        <v>107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-1</v>
      </c>
      <c r="P51" s="2">
        <v>-1</v>
      </c>
      <c r="Q51" s="2">
        <v>-1</v>
      </c>
      <c r="R51" s="2">
        <v>-1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</row>
    <row r="52" spans="1:33" x14ac:dyDescent="0.2">
      <c r="A52" s="2" t="s">
        <v>108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-1</v>
      </c>
      <c r="Q52" s="2">
        <v>-1</v>
      </c>
      <c r="R52" s="2">
        <v>-1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</row>
    <row r="53" spans="1:33" x14ac:dyDescent="0.2">
      <c r="A53" s="2" t="s">
        <v>109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-1</v>
      </c>
      <c r="R53" s="2">
        <v>-1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</row>
    <row r="54" spans="1:33" x14ac:dyDescent="0.2">
      <c r="A54" s="2" t="s">
        <v>110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-1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</row>
    <row r="55" spans="1:33" x14ac:dyDescent="0.2">
      <c r="A55" s="2" t="s">
        <v>111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-1</v>
      </c>
      <c r="T55" s="2">
        <v>-1</v>
      </c>
      <c r="U55" s="2">
        <v>-1</v>
      </c>
      <c r="V55" s="2">
        <v>-1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</row>
    <row r="56" spans="1:33" x14ac:dyDescent="0.2">
      <c r="A56" s="2" t="s">
        <v>112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-1</v>
      </c>
      <c r="U56" s="2">
        <v>-1</v>
      </c>
      <c r="V56" s="2">
        <v>-1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</row>
    <row r="57" spans="1:33" x14ac:dyDescent="0.2">
      <c r="A57" s="2" t="s">
        <v>113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-1</v>
      </c>
      <c r="V57" s="2">
        <v>-1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</row>
    <row r="58" spans="1:33" x14ac:dyDescent="0.2">
      <c r="A58" s="2" t="s">
        <v>114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-1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</row>
    <row r="59" spans="1:33" x14ac:dyDescent="0.2">
      <c r="A59" s="2" t="s">
        <v>115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-1</v>
      </c>
      <c r="X59" s="2">
        <v>-1</v>
      </c>
      <c r="Y59" s="2">
        <v>-1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</row>
    <row r="60" spans="1:33" x14ac:dyDescent="0.2">
      <c r="A60" s="2" t="s">
        <v>116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-1</v>
      </c>
      <c r="Y60" s="2">
        <v>-1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</row>
    <row r="61" spans="1:33" x14ac:dyDescent="0.2">
      <c r="A61" s="2" t="s">
        <v>117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-1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</row>
    <row r="62" spans="1:33" x14ac:dyDescent="0.2">
      <c r="A62" s="2" t="s">
        <v>118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-1</v>
      </c>
      <c r="AA62" s="2">
        <v>-1</v>
      </c>
      <c r="AB62" s="2">
        <v>-1</v>
      </c>
      <c r="AC62" s="2">
        <v>-1</v>
      </c>
      <c r="AD62" s="2">
        <v>-1</v>
      </c>
      <c r="AE62" s="2">
        <v>-1</v>
      </c>
      <c r="AF62" s="2">
        <v>-1</v>
      </c>
      <c r="AG62" s="2">
        <v>-1</v>
      </c>
    </row>
    <row r="63" spans="1:33" x14ac:dyDescent="0.2">
      <c r="A63" s="2" t="s">
        <v>119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-1</v>
      </c>
      <c r="AB63" s="2">
        <v>-1</v>
      </c>
      <c r="AC63" s="2">
        <v>-1</v>
      </c>
      <c r="AD63" s="2">
        <v>-1</v>
      </c>
      <c r="AE63" s="2">
        <v>-1</v>
      </c>
      <c r="AF63" s="2">
        <v>-1</v>
      </c>
      <c r="AG63" s="2">
        <v>-1</v>
      </c>
    </row>
    <row r="64" spans="1:33" x14ac:dyDescent="0.2">
      <c r="A64" s="2" t="s">
        <v>120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-1</v>
      </c>
      <c r="AC64" s="2">
        <v>-1</v>
      </c>
      <c r="AD64" s="2">
        <v>-1</v>
      </c>
      <c r="AE64" s="2">
        <v>-1</v>
      </c>
      <c r="AF64" s="2">
        <v>-1</v>
      </c>
      <c r="AG64" s="2">
        <v>-1</v>
      </c>
    </row>
    <row r="65" spans="1:35" x14ac:dyDescent="0.2">
      <c r="A65" s="2" t="s">
        <v>121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-1</v>
      </c>
      <c r="AD65" s="2">
        <v>-1</v>
      </c>
      <c r="AE65" s="2">
        <v>-1</v>
      </c>
      <c r="AF65" s="2">
        <v>-1</v>
      </c>
      <c r="AG65" s="2">
        <v>-1</v>
      </c>
    </row>
    <row r="66" spans="1:35" x14ac:dyDescent="0.2">
      <c r="A66" s="2" t="s">
        <v>122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-1</v>
      </c>
      <c r="AE66" s="2">
        <v>-1</v>
      </c>
      <c r="AF66" s="2">
        <v>-1</v>
      </c>
      <c r="AG66" s="2">
        <v>-1</v>
      </c>
    </row>
    <row r="67" spans="1:35" x14ac:dyDescent="0.2">
      <c r="A67" s="2" t="s">
        <v>123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-1</v>
      </c>
      <c r="AF67" s="2">
        <v>-1</v>
      </c>
      <c r="AG67" s="2">
        <v>-1</v>
      </c>
    </row>
    <row r="68" spans="1:35" x14ac:dyDescent="0.2">
      <c r="A68" s="2" t="s">
        <v>124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-1</v>
      </c>
      <c r="AG68" s="2">
        <v>-1</v>
      </c>
    </row>
    <row r="69" spans="1:35" x14ac:dyDescent="0.2">
      <c r="A69" s="2" t="s">
        <v>125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-1</v>
      </c>
    </row>
    <row r="71" spans="1:35" s="1" customFormat="1" x14ac:dyDescent="0.2"/>
    <row r="72" spans="1:35" s="1" customFormat="1" x14ac:dyDescent="0.2"/>
    <row r="73" spans="1:35" s="1" customFormat="1" x14ac:dyDescent="0.2"/>
    <row r="74" spans="1:35" x14ac:dyDescent="0.2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I74" s="1"/>
    </row>
    <row r="75" spans="1:35" x14ac:dyDescent="0.2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I75" s="1"/>
    </row>
    <row r="76" spans="1:35" x14ac:dyDescent="0.2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I76" s="1"/>
    </row>
    <row r="77" spans="1:35" x14ac:dyDescent="0.2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I77" s="1"/>
    </row>
    <row r="78" spans="1:35" x14ac:dyDescent="0.2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I78" s="1"/>
    </row>
    <row r="79" spans="1:35" x14ac:dyDescent="0.2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I79" s="1"/>
    </row>
    <row r="80" spans="1:35" x14ac:dyDescent="0.2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I80" s="1"/>
    </row>
    <row r="81" spans="2:35" x14ac:dyDescent="0.2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I81" s="1"/>
    </row>
    <row r="82" spans="2:35" x14ac:dyDescent="0.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I82" s="1"/>
    </row>
    <row r="83" spans="2:35" x14ac:dyDescent="0.2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I83" s="1"/>
    </row>
    <row r="84" spans="2:35" x14ac:dyDescent="0.2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I84" s="1"/>
    </row>
    <row r="85" spans="2:35" x14ac:dyDescent="0.2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I85" s="1"/>
    </row>
    <row r="86" spans="2:35" x14ac:dyDescent="0.2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I86" s="1"/>
    </row>
    <row r="87" spans="2:35" x14ac:dyDescent="0.2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I87" s="1"/>
    </row>
    <row r="88" spans="2:35" x14ac:dyDescent="0.2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I88" s="1"/>
    </row>
    <row r="89" spans="2:35" x14ac:dyDescent="0.2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I89" s="1"/>
    </row>
    <row r="90" spans="2:35" x14ac:dyDescent="0.2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I90" s="1"/>
    </row>
    <row r="91" spans="2:35" x14ac:dyDescent="0.2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I91" s="1"/>
    </row>
    <row r="92" spans="2:35" x14ac:dyDescent="0.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I92" s="1"/>
    </row>
    <row r="93" spans="2:35" x14ac:dyDescent="0.2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I93" s="1"/>
    </row>
    <row r="94" spans="2:35" x14ac:dyDescent="0.2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I94" s="1"/>
    </row>
    <row r="95" spans="2:35" x14ac:dyDescent="0.2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I95" s="1"/>
    </row>
    <row r="96" spans="2:35" x14ac:dyDescent="0.2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I96" s="1"/>
    </row>
    <row r="97" spans="2:35" x14ac:dyDescent="0.2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I97" s="1"/>
    </row>
    <row r="98" spans="2:35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I98" s="1"/>
    </row>
    <row r="99" spans="2:35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I99" s="1"/>
    </row>
    <row r="100" spans="2:35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I100" s="1"/>
    </row>
    <row r="101" spans="2:35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I101" s="1"/>
    </row>
    <row r="102" spans="2:35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I102" s="1"/>
    </row>
    <row r="103" spans="2:35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I103" s="1"/>
    </row>
    <row r="104" spans="2:35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I104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BBFF-8C8B-4986-A051-24EA58AE1BA1}">
  <dimension ref="A1:AF44"/>
  <sheetViews>
    <sheetView zoomScale="145" zoomScaleNormal="145" workbookViewId="0">
      <selection activeCell="L9" sqref="L9"/>
    </sheetView>
  </sheetViews>
  <sheetFormatPr defaultColWidth="9" defaultRowHeight="14.25" x14ac:dyDescent="0.2"/>
  <cols>
    <col min="1" max="1" width="11.75" style="10" customWidth="1"/>
    <col min="2" max="11" width="9" style="10"/>
    <col min="12" max="12" width="14" style="10" customWidth="1"/>
    <col min="13" max="25" width="9" style="10"/>
    <col min="26" max="26" width="13.875" style="10" customWidth="1"/>
    <col min="27" max="29" width="9" style="10"/>
    <col min="30" max="30" width="19.375" style="10" customWidth="1"/>
    <col min="31" max="16384" width="9" style="10"/>
  </cols>
  <sheetData>
    <row r="1" spans="1:32" x14ac:dyDescent="0.2">
      <c r="A1" s="53"/>
      <c r="B1" s="53"/>
      <c r="C1" s="11" t="s">
        <v>158</v>
      </c>
      <c r="D1" s="11" t="s">
        <v>157</v>
      </c>
      <c r="E1" s="11" t="s">
        <v>156</v>
      </c>
      <c r="F1" s="11"/>
      <c r="H1" s="11"/>
      <c r="I1" s="11"/>
      <c r="J1" s="11" t="s">
        <v>155</v>
      </c>
      <c r="K1" s="11" t="s">
        <v>154</v>
      </c>
      <c r="L1" s="11" t="s">
        <v>161</v>
      </c>
      <c r="N1" s="11"/>
      <c r="O1" s="11"/>
      <c r="P1" s="11" t="s">
        <v>153</v>
      </c>
      <c r="Q1" s="11" t="s">
        <v>152</v>
      </c>
      <c r="S1" s="37"/>
      <c r="T1" s="37"/>
      <c r="U1" s="37" t="s">
        <v>140</v>
      </c>
      <c r="V1" s="37" t="s">
        <v>139</v>
      </c>
      <c r="X1" s="11"/>
      <c r="Y1" s="11"/>
      <c r="Z1" s="40" t="s">
        <v>160</v>
      </c>
      <c r="AB1" s="11"/>
      <c r="AC1" s="11"/>
      <c r="AD1" s="40" t="s">
        <v>220</v>
      </c>
    </row>
    <row r="2" spans="1:32" x14ac:dyDescent="0.2">
      <c r="A2" s="11" t="s">
        <v>130</v>
      </c>
      <c r="B2" s="11" t="s">
        <v>129</v>
      </c>
      <c r="C2" s="11">
        <v>4</v>
      </c>
      <c r="D2" s="11">
        <v>4</v>
      </c>
      <c r="E2" s="11">
        <v>4</v>
      </c>
      <c r="F2" s="11"/>
      <c r="H2" s="11" t="s">
        <v>151</v>
      </c>
      <c r="I2" s="11" t="s">
        <v>129</v>
      </c>
      <c r="J2" s="11">
        <v>3</v>
      </c>
      <c r="K2" s="11">
        <v>3</v>
      </c>
      <c r="L2" s="15" t="s">
        <v>165</v>
      </c>
      <c r="N2" s="11" t="s">
        <v>130</v>
      </c>
      <c r="O2" s="11" t="s">
        <v>129</v>
      </c>
      <c r="P2" s="11">
        <v>4.5</v>
      </c>
      <c r="Q2" s="11">
        <v>4.5</v>
      </c>
      <c r="S2" s="37" t="s">
        <v>130</v>
      </c>
      <c r="T2" s="37" t="s">
        <v>129</v>
      </c>
      <c r="U2" s="37">
        <v>5</v>
      </c>
      <c r="V2" s="37">
        <v>5</v>
      </c>
      <c r="X2" s="11" t="s">
        <v>130</v>
      </c>
      <c r="Y2" s="11" t="s">
        <v>129</v>
      </c>
      <c r="Z2" s="11">
        <v>4</v>
      </c>
      <c r="AB2" s="11" t="s">
        <v>130</v>
      </c>
      <c r="AC2" s="11" t="s">
        <v>129</v>
      </c>
      <c r="AD2" s="11">
        <v>3</v>
      </c>
    </row>
    <row r="3" spans="1:32" x14ac:dyDescent="0.2">
      <c r="A3" s="11" t="s">
        <v>134</v>
      </c>
      <c r="B3" s="11" t="s">
        <v>129</v>
      </c>
      <c r="C3" s="11">
        <v>0</v>
      </c>
      <c r="D3" s="11">
        <v>0</v>
      </c>
      <c r="E3" s="11">
        <v>0</v>
      </c>
      <c r="F3" s="11"/>
      <c r="H3" s="11" t="s">
        <v>150</v>
      </c>
      <c r="I3" s="11" t="s">
        <v>129</v>
      </c>
      <c r="J3" s="11">
        <v>0</v>
      </c>
      <c r="K3" s="11">
        <v>0</v>
      </c>
      <c r="L3" s="11">
        <v>0</v>
      </c>
      <c r="N3" s="11" t="s">
        <v>134</v>
      </c>
      <c r="O3" s="11" t="s">
        <v>129</v>
      </c>
      <c r="P3" s="11">
        <v>0</v>
      </c>
      <c r="Q3" s="11">
        <v>0</v>
      </c>
      <c r="S3" s="37" t="s">
        <v>134</v>
      </c>
      <c r="T3" s="37" t="s">
        <v>129</v>
      </c>
      <c r="U3" s="37">
        <v>0</v>
      </c>
      <c r="V3" s="37">
        <v>0</v>
      </c>
      <c r="X3" s="11" t="s">
        <v>134</v>
      </c>
      <c r="Y3" s="11" t="s">
        <v>129</v>
      </c>
      <c r="Z3" s="11">
        <v>0</v>
      </c>
      <c r="AB3" s="11" t="s">
        <v>134</v>
      </c>
      <c r="AC3" s="11" t="s">
        <v>129</v>
      </c>
      <c r="AD3" s="11">
        <v>0</v>
      </c>
    </row>
    <row r="4" spans="1:32" ht="18.75" x14ac:dyDescent="0.25">
      <c r="A4" s="11" t="s">
        <v>149</v>
      </c>
      <c r="B4" s="11" t="s">
        <v>146</v>
      </c>
      <c r="C4" s="31">
        <v>3.6</v>
      </c>
      <c r="D4" s="31">
        <v>3.6</v>
      </c>
      <c r="E4" s="31">
        <v>3.6</v>
      </c>
      <c r="F4" s="11"/>
      <c r="H4" s="11" t="s">
        <v>148</v>
      </c>
      <c r="I4" s="11" t="s">
        <v>129</v>
      </c>
      <c r="J4" s="11">
        <v>3</v>
      </c>
      <c r="K4" s="11">
        <v>3</v>
      </c>
      <c r="L4" s="31" t="s">
        <v>207</v>
      </c>
      <c r="N4" s="17" t="s">
        <v>133</v>
      </c>
      <c r="O4" s="17">
        <v>1</v>
      </c>
      <c r="P4" s="17">
        <v>0.95</v>
      </c>
      <c r="Q4" s="17">
        <v>0.95</v>
      </c>
      <c r="S4" s="37" t="s">
        <v>149</v>
      </c>
      <c r="T4" s="37" t="s">
        <v>129</v>
      </c>
      <c r="U4" s="37">
        <v>4.5</v>
      </c>
      <c r="V4" s="37">
        <v>4.5</v>
      </c>
      <c r="X4" s="16" t="s">
        <v>166</v>
      </c>
      <c r="Y4" s="16" t="s">
        <v>167</v>
      </c>
      <c r="Z4" s="17">
        <v>25.4</v>
      </c>
      <c r="AB4" s="16" t="s">
        <v>169</v>
      </c>
      <c r="AC4" s="16" t="s">
        <v>170</v>
      </c>
      <c r="AD4" s="16">
        <v>3.9399999999999998E-2</v>
      </c>
      <c r="AE4" s="33"/>
      <c r="AF4" s="34"/>
    </row>
    <row r="5" spans="1:32" x14ac:dyDescent="0.2">
      <c r="A5" s="11" t="s">
        <v>147</v>
      </c>
      <c r="B5" s="11" t="s">
        <v>146</v>
      </c>
      <c r="C5" s="11">
        <v>0</v>
      </c>
      <c r="D5" s="11">
        <v>0</v>
      </c>
      <c r="E5" s="11">
        <v>0</v>
      </c>
      <c r="F5" s="11"/>
      <c r="H5" s="11" t="s">
        <v>145</v>
      </c>
      <c r="I5" s="11" t="s">
        <v>129</v>
      </c>
      <c r="J5" s="11">
        <v>0</v>
      </c>
      <c r="K5" s="11">
        <v>0</v>
      </c>
      <c r="L5" s="11">
        <v>0</v>
      </c>
      <c r="N5" s="11" t="s">
        <v>132</v>
      </c>
      <c r="O5" s="11" t="s">
        <v>131</v>
      </c>
      <c r="P5" s="11">
        <v>19</v>
      </c>
      <c r="Q5" s="11">
        <v>19</v>
      </c>
      <c r="S5" s="37" t="s">
        <v>147</v>
      </c>
      <c r="T5" s="37" t="s">
        <v>129</v>
      </c>
      <c r="U5" s="37">
        <v>0</v>
      </c>
      <c r="V5" s="37">
        <v>0</v>
      </c>
      <c r="X5" s="16" t="s">
        <v>133</v>
      </c>
      <c r="Y5" s="17">
        <v>1</v>
      </c>
      <c r="Z5" s="16">
        <v>0.8</v>
      </c>
      <c r="AB5" s="16" t="s">
        <v>133</v>
      </c>
      <c r="AC5" s="17">
        <v>1</v>
      </c>
      <c r="AD5" s="16">
        <v>0.36</v>
      </c>
      <c r="AF5" s="35"/>
    </row>
    <row r="6" spans="1:32" x14ac:dyDescent="0.2">
      <c r="A6" s="20" t="s">
        <v>178</v>
      </c>
      <c r="B6" s="21">
        <v>1</v>
      </c>
      <c r="C6" s="21">
        <v>0.78</v>
      </c>
      <c r="D6" s="21">
        <v>0.78</v>
      </c>
      <c r="E6" s="21">
        <v>0.78</v>
      </c>
      <c r="F6" s="11"/>
      <c r="H6" s="11" t="s">
        <v>144</v>
      </c>
      <c r="I6" s="11" t="s">
        <v>141</v>
      </c>
      <c r="J6" s="11">
        <v>10</v>
      </c>
      <c r="K6" s="11">
        <v>10</v>
      </c>
      <c r="L6" s="22" t="s">
        <v>197</v>
      </c>
      <c r="N6" s="57" t="s">
        <v>174</v>
      </c>
      <c r="O6" s="55"/>
      <c r="P6" s="55"/>
      <c r="Q6" s="55"/>
      <c r="S6" s="38" t="s">
        <v>133</v>
      </c>
      <c r="T6" s="38">
        <v>1</v>
      </c>
      <c r="U6" s="38">
        <v>0.34</v>
      </c>
      <c r="V6" s="38">
        <v>0.34</v>
      </c>
      <c r="X6" s="11" t="s">
        <v>132</v>
      </c>
      <c r="Y6" s="11" t="s">
        <v>131</v>
      </c>
      <c r="Z6" s="11">
        <v>15</v>
      </c>
      <c r="AB6" s="16" t="s">
        <v>171</v>
      </c>
      <c r="AC6" s="17">
        <v>1</v>
      </c>
      <c r="AD6" s="17">
        <v>0.7</v>
      </c>
      <c r="AF6" s="36"/>
    </row>
    <row r="7" spans="1:32" x14ac:dyDescent="0.2">
      <c r="A7" s="20" t="s">
        <v>179</v>
      </c>
      <c r="B7" s="20">
        <v>1</v>
      </c>
      <c r="C7" s="21">
        <v>0.3</v>
      </c>
      <c r="D7" s="21">
        <v>0.3</v>
      </c>
      <c r="E7" s="21">
        <v>0.3</v>
      </c>
      <c r="F7" s="11"/>
      <c r="H7" s="11" t="s">
        <v>142</v>
      </c>
      <c r="I7" s="11" t="s">
        <v>141</v>
      </c>
      <c r="J7" s="11">
        <v>0</v>
      </c>
      <c r="K7" s="11">
        <v>0</v>
      </c>
      <c r="L7" s="31" t="s">
        <v>208</v>
      </c>
      <c r="N7" s="26"/>
      <c r="S7" s="38" t="s">
        <v>175</v>
      </c>
      <c r="T7" s="38" t="s">
        <v>177</v>
      </c>
      <c r="U7" s="38">
        <f>0.01</f>
        <v>0.01</v>
      </c>
      <c r="V7" s="38">
        <v>0.01</v>
      </c>
      <c r="X7" s="57" t="s">
        <v>168</v>
      </c>
      <c r="Y7" s="55"/>
      <c r="Z7" s="55"/>
      <c r="AB7" s="11" t="s">
        <v>132</v>
      </c>
      <c r="AC7" s="11" t="s">
        <v>131</v>
      </c>
      <c r="AD7" s="11">
        <v>20</v>
      </c>
      <c r="AE7" s="25"/>
    </row>
    <row r="8" spans="1:32" x14ac:dyDescent="0.2">
      <c r="A8" s="23" t="s">
        <v>175</v>
      </c>
      <c r="B8" s="18" t="s">
        <v>177</v>
      </c>
      <c r="C8" s="19">
        <f>0.01</f>
        <v>0.01</v>
      </c>
      <c r="D8" s="19">
        <v>0.01</v>
      </c>
      <c r="E8" s="18">
        <v>0.01</v>
      </c>
      <c r="F8" s="11"/>
      <c r="H8" s="11" t="s">
        <v>133</v>
      </c>
      <c r="I8" s="11">
        <v>1</v>
      </c>
      <c r="J8" s="17">
        <v>0.95</v>
      </c>
      <c r="K8" s="17">
        <v>0.95</v>
      </c>
      <c r="L8" s="17">
        <v>1</v>
      </c>
      <c r="S8" s="37" t="s">
        <v>132</v>
      </c>
      <c r="T8" s="37" t="s">
        <v>131</v>
      </c>
      <c r="U8" s="37">
        <v>18</v>
      </c>
      <c r="V8" s="37">
        <v>18</v>
      </c>
      <c r="AB8" s="57" t="s">
        <v>172</v>
      </c>
      <c r="AC8" s="57"/>
      <c r="AD8" s="57"/>
    </row>
    <row r="9" spans="1:32" x14ac:dyDescent="0.2">
      <c r="A9" s="11" t="s">
        <v>143</v>
      </c>
      <c r="B9" s="15" t="s">
        <v>131</v>
      </c>
      <c r="C9" s="11">
        <v>46</v>
      </c>
      <c r="D9" s="11">
        <v>46</v>
      </c>
      <c r="E9" s="11">
        <v>46</v>
      </c>
      <c r="F9" s="11"/>
      <c r="H9" s="11" t="s">
        <v>136</v>
      </c>
      <c r="I9" s="11" t="s">
        <v>131</v>
      </c>
      <c r="J9" s="11">
        <v>56</v>
      </c>
      <c r="K9" s="11">
        <v>56</v>
      </c>
      <c r="L9" s="11">
        <v>0</v>
      </c>
      <c r="S9" s="60" t="s">
        <v>159</v>
      </c>
      <c r="T9" s="60"/>
      <c r="U9" s="60"/>
      <c r="V9" s="60"/>
      <c r="AB9" s="58" t="s">
        <v>173</v>
      </c>
      <c r="AC9" s="58"/>
      <c r="AD9" s="58"/>
    </row>
    <row r="10" spans="1:32" x14ac:dyDescent="0.2">
      <c r="A10" s="11" t="s">
        <v>138</v>
      </c>
      <c r="B10" s="11" t="s">
        <v>129</v>
      </c>
      <c r="C10" s="11">
        <v>2</v>
      </c>
      <c r="D10" s="11">
        <v>2</v>
      </c>
      <c r="E10" s="11">
        <v>2</v>
      </c>
      <c r="F10" s="11"/>
      <c r="H10" s="11" t="s">
        <v>135</v>
      </c>
      <c r="I10" s="11" t="s">
        <v>131</v>
      </c>
      <c r="J10" s="11">
        <v>56</v>
      </c>
      <c r="K10" s="11">
        <v>56</v>
      </c>
      <c r="L10" s="11">
        <v>0</v>
      </c>
      <c r="S10" s="39" t="s">
        <v>163</v>
      </c>
      <c r="T10" s="39" t="s">
        <v>164</v>
      </c>
      <c r="U10" s="39"/>
      <c r="V10" s="39"/>
      <c r="AB10" s="25"/>
      <c r="AC10" s="25"/>
      <c r="AD10" s="25"/>
    </row>
    <row r="11" spans="1:32" x14ac:dyDescent="0.2">
      <c r="A11" s="11" t="s">
        <v>137</v>
      </c>
      <c r="B11" s="11" t="s">
        <v>129</v>
      </c>
      <c r="C11" s="11">
        <v>2</v>
      </c>
      <c r="D11" s="11">
        <v>2</v>
      </c>
      <c r="E11" s="11">
        <v>2</v>
      </c>
      <c r="F11" s="11"/>
      <c r="S11" s="59" t="s">
        <v>176</v>
      </c>
      <c r="T11" s="59"/>
      <c r="U11" s="59"/>
      <c r="V11" s="59"/>
    </row>
    <row r="12" spans="1:32" x14ac:dyDescent="0.2">
      <c r="A12" s="54" t="s">
        <v>195</v>
      </c>
      <c r="B12" s="55"/>
      <c r="C12" s="55"/>
      <c r="D12" s="55"/>
      <c r="E12" s="55"/>
    </row>
    <row r="13" spans="1:32" x14ac:dyDescent="0.2">
      <c r="A13" s="56" t="s">
        <v>196</v>
      </c>
      <c r="B13" s="49"/>
      <c r="C13" s="49"/>
      <c r="D13" s="49"/>
      <c r="E13" s="49"/>
      <c r="T13" s="26"/>
    </row>
    <row r="15" spans="1:32" x14ac:dyDescent="0.2">
      <c r="B15" s="14"/>
      <c r="C15" s="14"/>
    </row>
    <row r="16" spans="1:32" x14ac:dyDescent="0.2">
      <c r="B16" s="30">
        <v>1</v>
      </c>
      <c r="C16" s="30">
        <v>2</v>
      </c>
      <c r="D16" s="30">
        <v>3</v>
      </c>
      <c r="E16" s="30">
        <v>4</v>
      </c>
      <c r="F16" s="30">
        <v>5</v>
      </c>
      <c r="G16" s="30">
        <v>6</v>
      </c>
      <c r="H16" s="30">
        <v>7</v>
      </c>
      <c r="I16" s="29">
        <v>8</v>
      </c>
      <c r="J16" s="29">
        <v>9</v>
      </c>
      <c r="K16" s="29">
        <v>10</v>
      </c>
      <c r="L16" s="29">
        <v>11</v>
      </c>
      <c r="M16" s="29">
        <v>12</v>
      </c>
      <c r="N16" s="29">
        <v>13</v>
      </c>
      <c r="O16" s="28">
        <v>14</v>
      </c>
      <c r="P16" s="28">
        <v>15</v>
      </c>
      <c r="Q16" s="28">
        <v>16</v>
      </c>
      <c r="R16" s="28">
        <v>17</v>
      </c>
      <c r="S16" s="29">
        <v>18</v>
      </c>
      <c r="T16" s="28">
        <v>19</v>
      </c>
      <c r="U16" s="28">
        <v>20</v>
      </c>
      <c r="V16" s="28">
        <v>21</v>
      </c>
      <c r="W16" s="28">
        <v>22</v>
      </c>
      <c r="X16" s="29">
        <v>23</v>
      </c>
      <c r="Y16" s="29">
        <v>24</v>
      </c>
    </row>
    <row r="17" spans="1:25" x14ac:dyDescent="0.2">
      <c r="A17" s="27" t="s">
        <v>205</v>
      </c>
      <c r="B17" s="14">
        <v>290.10000000000002</v>
      </c>
      <c r="C17" s="14">
        <v>290.10000000000002</v>
      </c>
      <c r="D17" s="14">
        <v>290.10000000000002</v>
      </c>
      <c r="E17" s="14">
        <v>290.10000000000002</v>
      </c>
      <c r="F17" s="14">
        <v>290.10000000000002</v>
      </c>
      <c r="G17" s="14">
        <v>290.10000000000002</v>
      </c>
      <c r="H17" s="14">
        <v>290.10000000000002</v>
      </c>
      <c r="I17" s="10">
        <v>580.20000000000005</v>
      </c>
      <c r="J17" s="10">
        <v>580.20000000000005</v>
      </c>
      <c r="K17" s="10">
        <v>580.20000000000005</v>
      </c>
      <c r="L17" s="10">
        <v>580.20000000000005</v>
      </c>
      <c r="M17" s="10">
        <v>580.20000000000005</v>
      </c>
      <c r="N17" s="10">
        <v>580.20000000000005</v>
      </c>
      <c r="O17" s="14">
        <v>957.3</v>
      </c>
      <c r="P17" s="14">
        <v>957.3</v>
      </c>
      <c r="Q17" s="14">
        <v>957.3</v>
      </c>
      <c r="R17" s="14">
        <v>957.3</v>
      </c>
      <c r="S17" s="10">
        <v>580.20000000000005</v>
      </c>
      <c r="T17" s="14">
        <v>957.3</v>
      </c>
      <c r="U17" s="14">
        <v>957.3</v>
      </c>
      <c r="V17" s="14">
        <v>957.3</v>
      </c>
      <c r="W17" s="14">
        <v>957.3</v>
      </c>
      <c r="X17" s="10">
        <v>580.20000000000005</v>
      </c>
      <c r="Y17" s="10">
        <v>580.20000000000005</v>
      </c>
    </row>
    <row r="18" spans="1:25" x14ac:dyDescent="0.2">
      <c r="A18" s="27" t="s">
        <v>206</v>
      </c>
      <c r="B18" s="14">
        <v>463</v>
      </c>
      <c r="C18" s="14">
        <v>463</v>
      </c>
      <c r="D18" s="14">
        <v>463</v>
      </c>
      <c r="E18" s="14">
        <v>463</v>
      </c>
      <c r="F18" s="14">
        <v>463</v>
      </c>
      <c r="G18" s="14">
        <v>463</v>
      </c>
      <c r="H18" s="14">
        <v>463</v>
      </c>
      <c r="I18" s="14">
        <v>463</v>
      </c>
      <c r="J18" s="14">
        <v>463</v>
      </c>
      <c r="K18" s="14">
        <v>463</v>
      </c>
      <c r="L18" s="14">
        <v>463</v>
      </c>
      <c r="M18" s="14">
        <v>463</v>
      </c>
      <c r="N18" s="14">
        <v>463</v>
      </c>
      <c r="O18" s="14">
        <v>463</v>
      </c>
      <c r="P18" s="14">
        <v>463</v>
      </c>
      <c r="Q18" s="14">
        <v>463</v>
      </c>
      <c r="R18" s="14">
        <v>463</v>
      </c>
      <c r="S18" s="14">
        <v>463</v>
      </c>
      <c r="T18" s="14">
        <v>463</v>
      </c>
      <c r="U18" s="14">
        <v>463</v>
      </c>
      <c r="V18" s="14">
        <v>463</v>
      </c>
      <c r="W18" s="14">
        <v>463</v>
      </c>
      <c r="X18" s="14">
        <v>463</v>
      </c>
      <c r="Y18" s="14">
        <v>463</v>
      </c>
    </row>
    <row r="19" spans="1:25" x14ac:dyDescent="0.2">
      <c r="A19" s="27" t="s">
        <v>203</v>
      </c>
      <c r="B19" s="10">
        <v>4.2</v>
      </c>
      <c r="C19" s="10">
        <v>4.2</v>
      </c>
      <c r="D19" s="10">
        <v>4.2</v>
      </c>
      <c r="E19" s="10">
        <v>4.2</v>
      </c>
      <c r="F19" s="10">
        <v>4.2</v>
      </c>
      <c r="G19" s="10">
        <v>4.2</v>
      </c>
      <c r="H19" s="10">
        <v>4.2</v>
      </c>
      <c r="I19" s="10">
        <v>4.2</v>
      </c>
      <c r="J19" s="10">
        <v>4.2</v>
      </c>
      <c r="K19" s="10">
        <v>4.2</v>
      </c>
      <c r="L19" s="10">
        <v>4.2</v>
      </c>
      <c r="M19" s="10">
        <v>4.2</v>
      </c>
      <c r="N19" s="10">
        <v>4.2</v>
      </c>
      <c r="O19" s="10">
        <v>4.2</v>
      </c>
      <c r="P19" s="10">
        <v>4.2</v>
      </c>
      <c r="Q19" s="10">
        <v>4.2</v>
      </c>
      <c r="R19" s="10">
        <v>4.2</v>
      </c>
      <c r="S19" s="10">
        <v>4.2</v>
      </c>
      <c r="T19" s="10">
        <v>4.2</v>
      </c>
      <c r="U19" s="10">
        <v>4.2</v>
      </c>
      <c r="V19" s="10">
        <v>4.2</v>
      </c>
      <c r="W19" s="10">
        <v>4.2</v>
      </c>
      <c r="X19" s="10">
        <v>4.2</v>
      </c>
      <c r="Y19" s="10">
        <v>4.2</v>
      </c>
    </row>
    <row r="20" spans="1:25" x14ac:dyDescent="0.2">
      <c r="A20" s="27" t="s">
        <v>204</v>
      </c>
      <c r="B20" s="14">
        <v>30</v>
      </c>
      <c r="C20" s="14">
        <v>30</v>
      </c>
      <c r="D20" s="14">
        <v>30</v>
      </c>
      <c r="E20" s="14">
        <v>30</v>
      </c>
      <c r="F20" s="14">
        <v>30</v>
      </c>
      <c r="G20" s="14">
        <v>30</v>
      </c>
      <c r="H20" s="14">
        <v>30</v>
      </c>
      <c r="I20" s="14">
        <v>30</v>
      </c>
      <c r="J20" s="14">
        <v>30</v>
      </c>
      <c r="K20" s="14">
        <v>30</v>
      </c>
      <c r="L20" s="14">
        <v>30</v>
      </c>
      <c r="M20" s="14">
        <v>30</v>
      </c>
      <c r="N20" s="14">
        <v>30</v>
      </c>
      <c r="O20" s="14">
        <v>30</v>
      </c>
      <c r="P20" s="14">
        <v>30</v>
      </c>
      <c r="Q20" s="14">
        <v>30</v>
      </c>
      <c r="R20" s="14">
        <v>30</v>
      </c>
      <c r="S20" s="14">
        <v>30</v>
      </c>
      <c r="T20" s="14">
        <v>30</v>
      </c>
      <c r="U20" s="14">
        <v>30</v>
      </c>
      <c r="V20" s="14">
        <v>30</v>
      </c>
      <c r="W20" s="14">
        <v>30</v>
      </c>
      <c r="X20" s="14">
        <v>30</v>
      </c>
      <c r="Y20" s="14">
        <v>30</v>
      </c>
    </row>
    <row r="21" spans="1:25" x14ac:dyDescent="0.2">
      <c r="A21" s="13"/>
      <c r="B21" s="14"/>
      <c r="C21" s="13"/>
      <c r="D21" s="13"/>
      <c r="E21" s="13"/>
    </row>
    <row r="22" spans="1:25" x14ac:dyDescent="0.2">
      <c r="A22" s="13"/>
      <c r="B22" s="32" t="s">
        <v>213</v>
      </c>
      <c r="C22" s="32" t="s">
        <v>209</v>
      </c>
      <c r="D22" s="32" t="s">
        <v>214</v>
      </c>
      <c r="E22" s="13"/>
      <c r="G22" s="32" t="s">
        <v>213</v>
      </c>
      <c r="H22" s="32" t="s">
        <v>216</v>
      </c>
      <c r="I22" s="32" t="s">
        <v>214</v>
      </c>
    </row>
    <row r="23" spans="1:25" x14ac:dyDescent="0.2">
      <c r="A23" s="50" t="s">
        <v>215</v>
      </c>
      <c r="B23" s="49">
        <f>1/C6/C8</f>
        <v>128.2051282051282</v>
      </c>
      <c r="C23" s="51">
        <f>1/U6/U7</f>
        <v>294.11764705882348</v>
      </c>
      <c r="D23" s="49">
        <f>1/AD4/AD5</f>
        <v>70.50197405527355</v>
      </c>
      <c r="E23" s="13"/>
      <c r="F23" s="52" t="s">
        <v>217</v>
      </c>
      <c r="G23" s="49">
        <f>1/C8/C7</f>
        <v>333.33333333333337</v>
      </c>
      <c r="H23" s="49">
        <f>1*P4</f>
        <v>0.95</v>
      </c>
      <c r="I23" s="49">
        <f>1*AD6</f>
        <v>0.7</v>
      </c>
    </row>
    <row r="24" spans="1:25" x14ac:dyDescent="0.2">
      <c r="A24" s="50"/>
      <c r="B24" s="49"/>
      <c r="C24" s="51"/>
      <c r="D24" s="49"/>
      <c r="E24" s="13"/>
      <c r="F24" s="52"/>
      <c r="G24" s="49"/>
      <c r="H24" s="49"/>
      <c r="I24" s="49"/>
    </row>
    <row r="25" spans="1:25" x14ac:dyDescent="0.2">
      <c r="A25" s="32" t="s">
        <v>210</v>
      </c>
      <c r="B25" s="10">
        <f>B23*B19</f>
        <v>538.46153846153845</v>
      </c>
      <c r="C25" s="10">
        <f>C23*C19</f>
        <v>1235.2941176470586</v>
      </c>
      <c r="D25" s="10">
        <f>D23*D20</f>
        <v>2115.0592216582063</v>
      </c>
      <c r="E25" s="13"/>
      <c r="F25" s="32" t="s">
        <v>218</v>
      </c>
      <c r="G25" s="10">
        <f>G23*G19</f>
        <v>1400.0000000000002</v>
      </c>
      <c r="I25" s="10">
        <f>I26/AD4/AD5*H19</f>
        <v>4145.5160744500854</v>
      </c>
    </row>
    <row r="26" spans="1:25" x14ac:dyDescent="0.2">
      <c r="A26" s="32" t="s">
        <v>211</v>
      </c>
      <c r="B26" s="10">
        <f>1*C9</f>
        <v>46</v>
      </c>
      <c r="C26" s="10">
        <f>1*U8</f>
        <v>18</v>
      </c>
      <c r="D26" s="10">
        <f>1*AD7</f>
        <v>20</v>
      </c>
      <c r="E26" s="13"/>
      <c r="F26" s="32" t="s">
        <v>219</v>
      </c>
      <c r="G26" s="10">
        <f>G23*E8*E6*E9</f>
        <v>119.60000000000002</v>
      </c>
      <c r="H26" s="10">
        <f>H23*P5</f>
        <v>18.05</v>
      </c>
      <c r="I26" s="10">
        <f>I23*AD7</f>
        <v>14</v>
      </c>
    </row>
    <row r="27" spans="1:25" x14ac:dyDescent="0.2">
      <c r="A27" s="32" t="s">
        <v>212</v>
      </c>
      <c r="B27" s="10">
        <f>SUM(B25:B26)</f>
        <v>584.46153846153845</v>
      </c>
      <c r="C27" s="10">
        <f>SUM(C25:C26)</f>
        <v>1253.2941176470586</v>
      </c>
      <c r="D27" s="10">
        <f>SUM(D25:D26)</f>
        <v>2135.0592216582063</v>
      </c>
      <c r="E27" s="13"/>
      <c r="F27" s="32" t="s">
        <v>212</v>
      </c>
      <c r="G27" s="10">
        <f>SUM(G25:G26)</f>
        <v>1519.6000000000004</v>
      </c>
      <c r="H27" s="10">
        <f t="shared" ref="H27:I27" si="0">SUM(H25:H26)</f>
        <v>18.05</v>
      </c>
      <c r="I27" s="10">
        <f t="shared" si="0"/>
        <v>4159.5160744500854</v>
      </c>
    </row>
    <row r="28" spans="1:25" x14ac:dyDescent="0.2">
      <c r="A28" s="13"/>
      <c r="E28" s="13"/>
    </row>
    <row r="29" spans="1:25" x14ac:dyDescent="0.2">
      <c r="A29" s="13"/>
      <c r="E29" s="13"/>
    </row>
    <row r="30" spans="1:25" x14ac:dyDescent="0.2">
      <c r="A30" s="13"/>
      <c r="E30" s="13"/>
    </row>
    <row r="31" spans="1:25" x14ac:dyDescent="0.2">
      <c r="A31" s="13"/>
      <c r="E31" s="13"/>
    </row>
    <row r="32" spans="1:25" x14ac:dyDescent="0.2">
      <c r="A32" s="13"/>
      <c r="E32" s="13"/>
    </row>
    <row r="33" spans="1:5" x14ac:dyDescent="0.2">
      <c r="A33" s="13"/>
      <c r="E33" s="13"/>
    </row>
    <row r="34" spans="1:5" x14ac:dyDescent="0.2">
      <c r="A34" s="13"/>
      <c r="E34" s="13"/>
    </row>
    <row r="35" spans="1:5" x14ac:dyDescent="0.2">
      <c r="A35" s="13"/>
      <c r="E35" s="13"/>
    </row>
    <row r="36" spans="1:5" x14ac:dyDescent="0.2">
      <c r="A36" s="13"/>
      <c r="E36" s="13"/>
    </row>
    <row r="37" spans="1:5" x14ac:dyDescent="0.2">
      <c r="A37" s="13"/>
      <c r="E37" s="13"/>
    </row>
    <row r="38" spans="1:5" x14ac:dyDescent="0.2">
      <c r="A38" s="13"/>
      <c r="B38" s="14"/>
      <c r="C38" s="13"/>
      <c r="D38" s="13"/>
      <c r="E38" s="13"/>
    </row>
    <row r="39" spans="1:5" x14ac:dyDescent="0.2">
      <c r="A39" s="13"/>
      <c r="B39" s="14"/>
      <c r="C39" s="13"/>
      <c r="D39" s="13"/>
      <c r="E39" s="13"/>
    </row>
    <row r="40" spans="1:5" x14ac:dyDescent="0.2">
      <c r="D40" s="13"/>
    </row>
    <row r="41" spans="1:5" x14ac:dyDescent="0.2">
      <c r="D41" s="13"/>
    </row>
    <row r="42" spans="1:5" x14ac:dyDescent="0.2">
      <c r="D42" s="13"/>
    </row>
    <row r="43" spans="1:5" x14ac:dyDescent="0.2">
      <c r="D43" s="13"/>
    </row>
    <row r="44" spans="1:5" x14ac:dyDescent="0.2">
      <c r="D44" s="13"/>
    </row>
  </sheetData>
  <mergeCells count="17">
    <mergeCell ref="A1:B1"/>
    <mergeCell ref="A12:E12"/>
    <mergeCell ref="A13:E13"/>
    <mergeCell ref="AB8:AD8"/>
    <mergeCell ref="AB9:AD9"/>
    <mergeCell ref="N6:Q6"/>
    <mergeCell ref="S11:V11"/>
    <mergeCell ref="S9:V9"/>
    <mergeCell ref="X7:Z7"/>
    <mergeCell ref="G23:G24"/>
    <mergeCell ref="H23:H24"/>
    <mergeCell ref="I23:I24"/>
    <mergeCell ref="A23:A24"/>
    <mergeCell ref="B23:B24"/>
    <mergeCell ref="C23:C24"/>
    <mergeCell ref="D23:D24"/>
    <mergeCell ref="F23:F24"/>
  </mergeCells>
  <phoneticPr fontId="17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Wind</vt:lpstr>
      <vt:lpstr>Wmap</vt:lpstr>
      <vt:lpstr>Branch</vt:lpstr>
      <vt:lpstr>Demand</vt:lpstr>
      <vt:lpstr>area</vt:lpstr>
      <vt:lpstr>Check</vt:lpstr>
      <vt:lpstr>Devices</vt:lpstr>
      <vt:lpstr>Bus_By_Line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Vico Zhang</dc:creator>
  <cp:lastModifiedBy>Vico Zhang</cp:lastModifiedBy>
  <dcterms:created xsi:type="dcterms:W3CDTF">2015-06-05T18:19:34Z</dcterms:created>
  <dcterms:modified xsi:type="dcterms:W3CDTF">2026-03-23T00:56:59Z</dcterms:modified>
</cp:coreProperties>
</file>